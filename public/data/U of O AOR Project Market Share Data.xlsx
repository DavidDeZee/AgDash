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z\Documents\2025\"/>
    </mc:Choice>
  </mc:AlternateContent>
  <xr:revisionPtr revIDLastSave="0" documentId="13_ncr:1_{EEC1362F-88DB-4990-9965-123C89E56246}" xr6:coauthVersionLast="47" xr6:coauthVersionMax="47" xr10:uidLastSave="{00000000-0000-0000-0000-000000000000}"/>
  <bookViews>
    <workbookView xWindow="22932" yWindow="-108" windowWidth="23256" windowHeight="13896" xr2:uid="{E958137F-3FFC-4880-B354-285D3EA7320A}"/>
  </bookViews>
  <sheets>
    <sheet name="&lt; 50 EHP" sheetId="1" r:id="rId1"/>
    <sheet name="50 &lt; 100 EHP" sheetId="2" r:id="rId2"/>
    <sheet name="MID HAY" sheetId="3" r:id="rId3"/>
    <sheet name="LARGE AG" sheetId="4" r:id="rId4"/>
    <sheet name="CCE" sheetId="5" r:id="rId5"/>
    <sheet name="PAES" sheetId="6" r:id="rId6"/>
  </sheets>
  <definedNames>
    <definedName name="_xlnm._FilterDatabase" localSheetId="0" hidden="1">'&lt; 50 EHP'!$A$2:$D$2</definedName>
    <definedName name="_xlnm._FilterDatabase" localSheetId="1" hidden="1">'50 &lt; 100 EHP'!$A$2:$D$2</definedName>
    <definedName name="_xlnm._FilterDatabase" localSheetId="4" hidden="1">CCE!$A$2:$D$2</definedName>
    <definedName name="_xlnm._FilterDatabase" localSheetId="3" hidden="1">'LARGE AG'!$A$2:$D$2</definedName>
    <definedName name="_xlnm._FilterDatabase" localSheetId="2" hidden="1">'MID HAY'!$A$2:$D$2</definedName>
    <definedName name="_xlnm._FilterDatabase" localSheetId="5" hidden="1">PAES!$A$2:$F$2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5" i="1" l="1"/>
  <c r="D86" i="1"/>
  <c r="D87" i="1"/>
  <c r="D88" i="1"/>
  <c r="D89" i="1"/>
  <c r="D5" i="1"/>
  <c r="D90" i="1"/>
  <c r="D91" i="1"/>
  <c r="D92" i="1"/>
  <c r="D6" i="1"/>
  <c r="D7" i="1"/>
  <c r="D8" i="1"/>
  <c r="D9" i="1"/>
  <c r="D93" i="1"/>
  <c r="D95" i="1"/>
  <c r="D94" i="1"/>
  <c r="D96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5" i="1"/>
  <c r="D24" i="1"/>
  <c r="D97" i="1"/>
  <c r="D26" i="1"/>
  <c r="D27" i="1"/>
  <c r="D28" i="1"/>
  <c r="D29" i="1"/>
  <c r="D31" i="1"/>
  <c r="D32" i="1"/>
  <c r="D30" i="1"/>
  <c r="D33" i="1"/>
  <c r="D34" i="1"/>
  <c r="D35" i="1"/>
  <c r="D37" i="1"/>
  <c r="D36" i="1"/>
  <c r="D38" i="1"/>
  <c r="D39" i="1"/>
  <c r="D40" i="1"/>
  <c r="D41" i="1"/>
  <c r="D42" i="1"/>
  <c r="D43" i="1"/>
  <c r="D44" i="1"/>
  <c r="D45" i="1"/>
  <c r="D46" i="1"/>
  <c r="D47" i="1"/>
  <c r="D49" i="1"/>
  <c r="D48" i="1"/>
  <c r="D50" i="1"/>
  <c r="D51" i="1"/>
  <c r="D52" i="1"/>
  <c r="D53" i="1"/>
  <c r="D54" i="1"/>
  <c r="D55" i="1"/>
  <c r="D3" i="1"/>
  <c r="D56" i="1"/>
  <c r="D98" i="1"/>
  <c r="D58" i="1"/>
  <c r="D57" i="1"/>
  <c r="D60" i="1"/>
  <c r="D59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4" i="1"/>
  <c r="D82" i="1"/>
  <c r="D83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84" i="1"/>
  <c r="D37" i="2"/>
  <c r="D39" i="2"/>
  <c r="D48" i="2"/>
  <c r="D43" i="2"/>
  <c r="D25" i="2"/>
  <c r="D26" i="2"/>
  <c r="D58" i="2"/>
  <c r="D24" i="2"/>
  <c r="D75" i="2"/>
  <c r="D70" i="2"/>
  <c r="D61" i="2"/>
  <c r="D47" i="2"/>
  <c r="D78" i="2"/>
  <c r="D20" i="2"/>
  <c r="D50" i="2"/>
  <c r="D19" i="2"/>
  <c r="D23" i="2"/>
  <c r="D62" i="2"/>
  <c r="D30" i="2"/>
  <c r="D9" i="2"/>
  <c r="D32" i="2"/>
  <c r="D29" i="2"/>
  <c r="D66" i="2"/>
  <c r="D77" i="2"/>
  <c r="D76" i="2"/>
  <c r="D63" i="2"/>
  <c r="D49" i="2"/>
  <c r="D74" i="2"/>
  <c r="D17" i="2"/>
  <c r="D42" i="2"/>
  <c r="D71" i="2"/>
  <c r="D36" i="2"/>
  <c r="D69" i="2"/>
  <c r="D13" i="2"/>
  <c r="D64" i="2"/>
  <c r="D31" i="2"/>
  <c r="D56" i="2"/>
  <c r="D79" i="2"/>
  <c r="D73" i="2"/>
  <c r="D68" i="2"/>
  <c r="D54" i="2"/>
  <c r="D14" i="2"/>
  <c r="D59" i="2"/>
  <c r="D16" i="2"/>
  <c r="D21" i="2"/>
  <c r="D65" i="2"/>
  <c r="D28" i="2"/>
  <c r="D46" i="2"/>
  <c r="D51" i="2"/>
  <c r="D10" i="2"/>
  <c r="D80" i="2"/>
  <c r="D40" i="2"/>
  <c r="D67" i="2"/>
  <c r="D15" i="2"/>
  <c r="D22" i="2"/>
  <c r="D44" i="2"/>
  <c r="D53" i="2"/>
  <c r="D60" i="2"/>
  <c r="D33" i="2"/>
  <c r="D81" i="2"/>
  <c r="D55" i="2"/>
  <c r="D11" i="2"/>
  <c r="D82" i="2"/>
  <c r="D45" i="2"/>
  <c r="D57" i="2"/>
  <c r="D4" i="2"/>
  <c r="D83" i="2"/>
  <c r="D52" i="2"/>
  <c r="D41" i="2"/>
  <c r="D84" i="2"/>
  <c r="D85" i="2"/>
  <c r="D38" i="2"/>
  <c r="D86" i="2"/>
  <c r="D35" i="2"/>
  <c r="D87" i="2"/>
  <c r="D34" i="2"/>
  <c r="D88" i="2"/>
  <c r="D27" i="2"/>
  <c r="D89" i="2"/>
  <c r="D90" i="2"/>
  <c r="D7" i="2"/>
  <c r="D91" i="2"/>
  <c r="D18" i="2"/>
  <c r="D92" i="2"/>
  <c r="D93" i="2"/>
  <c r="D94" i="2"/>
  <c r="D12" i="2"/>
  <c r="D95" i="2"/>
  <c r="D96" i="2"/>
  <c r="D5" i="2"/>
  <c r="D8" i="2"/>
  <c r="D97" i="2"/>
  <c r="D6" i="2"/>
  <c r="D98" i="2"/>
  <c r="D99" i="2"/>
  <c r="D100" i="2"/>
  <c r="D3" i="2"/>
  <c r="D101" i="2"/>
  <c r="D102" i="2"/>
  <c r="D103" i="2"/>
  <c r="D104" i="2"/>
  <c r="D105" i="2"/>
  <c r="D72" i="2"/>
  <c r="D68" i="3"/>
  <c r="D69" i="3"/>
  <c r="D70" i="3"/>
  <c r="D71" i="3"/>
  <c r="D5" i="3"/>
  <c r="D72" i="3"/>
  <c r="D3" i="3"/>
  <c r="D73" i="3"/>
  <c r="D6" i="3"/>
  <c r="D74" i="3"/>
  <c r="D7" i="3"/>
  <c r="D8" i="3"/>
  <c r="D75" i="3"/>
  <c r="D76" i="3"/>
  <c r="D9" i="3"/>
  <c r="D26" i="3"/>
  <c r="D58" i="3"/>
  <c r="D77" i="3"/>
  <c r="D10" i="3"/>
  <c r="D19" i="3"/>
  <c r="D11" i="3"/>
  <c r="D54" i="3"/>
  <c r="D29" i="3"/>
  <c r="D78" i="3"/>
  <c r="D79" i="3"/>
  <c r="D50" i="3"/>
  <c r="D56" i="3"/>
  <c r="D23" i="3"/>
  <c r="D80" i="3"/>
  <c r="D81" i="3"/>
  <c r="D31" i="3"/>
  <c r="D82" i="3"/>
  <c r="D20" i="3"/>
  <c r="D83" i="3"/>
  <c r="D16" i="3"/>
  <c r="D84" i="3"/>
  <c r="D55" i="3"/>
  <c r="D12" i="3"/>
  <c r="D85" i="3"/>
  <c r="D86" i="3"/>
  <c r="D64" i="3"/>
  <c r="D57" i="3"/>
  <c r="D13" i="3"/>
  <c r="D62" i="3"/>
  <c r="D4" i="3"/>
  <c r="D46" i="3"/>
  <c r="D52" i="3"/>
  <c r="D35" i="3"/>
  <c r="D59" i="3"/>
  <c r="D14" i="3"/>
  <c r="D87" i="3"/>
  <c r="D30" i="3"/>
  <c r="D34" i="3"/>
  <c r="D15" i="3"/>
  <c r="D51" i="3"/>
  <c r="D48" i="3"/>
  <c r="D39" i="3"/>
  <c r="D21" i="3"/>
  <c r="D65" i="3"/>
  <c r="D24" i="3"/>
  <c r="D61" i="3"/>
  <c r="D88" i="3"/>
  <c r="D36" i="3"/>
  <c r="D42" i="3"/>
  <c r="D40" i="3"/>
  <c r="D66" i="3"/>
  <c r="D25" i="3"/>
  <c r="D89" i="3"/>
  <c r="D45" i="3"/>
  <c r="D33" i="3"/>
  <c r="D38" i="3"/>
  <c r="D18" i="3"/>
  <c r="D17" i="3"/>
  <c r="D63" i="3"/>
  <c r="D28" i="3"/>
  <c r="D41" i="3"/>
  <c r="D44" i="3"/>
  <c r="D60" i="3"/>
  <c r="D32" i="3"/>
  <c r="D27" i="3"/>
  <c r="D37" i="3"/>
  <c r="D47" i="3"/>
  <c r="D49" i="3"/>
  <c r="D53" i="3"/>
  <c r="D43" i="3"/>
  <c r="D22" i="3"/>
  <c r="D67" i="3"/>
  <c r="D117" i="5"/>
  <c r="D118" i="5"/>
  <c r="D119" i="5"/>
  <c r="D120" i="5"/>
  <c r="D121" i="5"/>
  <c r="D122" i="5"/>
  <c r="D123" i="5"/>
  <c r="D124" i="5"/>
  <c r="D125" i="5"/>
  <c r="D126" i="5"/>
  <c r="D15" i="5"/>
  <c r="D127" i="5"/>
  <c r="D25" i="5"/>
  <c r="D22" i="5"/>
  <c r="D128" i="5"/>
  <c r="D4" i="5"/>
  <c r="D129" i="5"/>
  <c r="D130" i="5"/>
  <c r="D131" i="5"/>
  <c r="D13" i="5"/>
  <c r="D8" i="5"/>
  <c r="D132" i="5"/>
  <c r="D133" i="5"/>
  <c r="D59" i="5"/>
  <c r="D134" i="5"/>
  <c r="D3" i="5"/>
  <c r="D6" i="5"/>
  <c r="D14" i="5"/>
  <c r="D135" i="5"/>
  <c r="D26" i="5"/>
  <c r="D136" i="5"/>
  <c r="D71" i="5"/>
  <c r="D21" i="5"/>
  <c r="D73" i="5"/>
  <c r="D137" i="5"/>
  <c r="D19" i="5"/>
  <c r="D77" i="5"/>
  <c r="D138" i="5"/>
  <c r="D12" i="5"/>
  <c r="D5" i="5"/>
  <c r="D139" i="5"/>
  <c r="D20" i="5"/>
  <c r="D140" i="5"/>
  <c r="D141" i="5"/>
  <c r="D87" i="5"/>
  <c r="D56" i="5"/>
  <c r="D142" i="5"/>
  <c r="D18" i="5"/>
  <c r="D63" i="5"/>
  <c r="D23" i="5"/>
  <c r="D69" i="5"/>
  <c r="D70" i="5"/>
  <c r="D98" i="5"/>
  <c r="D78" i="5"/>
  <c r="D29" i="5"/>
  <c r="D89" i="5"/>
  <c r="D95" i="5"/>
  <c r="D48" i="5"/>
  <c r="D143" i="5"/>
  <c r="D53" i="5"/>
  <c r="D81" i="5"/>
  <c r="D16" i="5"/>
  <c r="D144" i="5"/>
  <c r="D76" i="5"/>
  <c r="D11" i="5"/>
  <c r="D109" i="5"/>
  <c r="D68" i="5"/>
  <c r="D84" i="5"/>
  <c r="D88" i="5"/>
  <c r="D60" i="5"/>
  <c r="D36" i="5"/>
  <c r="D27" i="5"/>
  <c r="D32" i="5"/>
  <c r="D40" i="5"/>
  <c r="D86" i="5"/>
  <c r="D10" i="5"/>
  <c r="D37" i="5"/>
  <c r="D74" i="5"/>
  <c r="D45" i="5"/>
  <c r="D110" i="5"/>
  <c r="D58" i="5"/>
  <c r="D145" i="5"/>
  <c r="D146" i="5"/>
  <c r="D75" i="5"/>
  <c r="D104" i="5"/>
  <c r="D106" i="5"/>
  <c r="D55" i="5"/>
  <c r="D112" i="5"/>
  <c r="D61" i="5"/>
  <c r="D49" i="5"/>
  <c r="D24" i="5"/>
  <c r="D85" i="5"/>
  <c r="D82" i="5"/>
  <c r="D147" i="5"/>
  <c r="D114" i="5"/>
  <c r="D50" i="5"/>
  <c r="D102" i="5"/>
  <c r="D30" i="5"/>
  <c r="D94" i="5"/>
  <c r="D9" i="5"/>
  <c r="D41" i="5"/>
  <c r="D107" i="5"/>
  <c r="D101" i="5"/>
  <c r="D44" i="5"/>
  <c r="D57" i="5"/>
  <c r="D7" i="5"/>
  <c r="D64" i="5"/>
  <c r="D42" i="5"/>
  <c r="D79" i="5"/>
  <c r="D62" i="5"/>
  <c r="D96" i="5"/>
  <c r="D34" i="5"/>
  <c r="D65" i="5"/>
  <c r="D113" i="5"/>
  <c r="D54" i="5"/>
  <c r="D33" i="5"/>
  <c r="D97" i="5"/>
  <c r="D92" i="5"/>
  <c r="D80" i="5"/>
  <c r="D100" i="5"/>
  <c r="D38" i="5"/>
  <c r="D31" i="5"/>
  <c r="D17" i="5"/>
  <c r="D105" i="5"/>
  <c r="D90" i="5"/>
  <c r="D108" i="5"/>
  <c r="D52" i="5"/>
  <c r="D46" i="5"/>
  <c r="D103" i="5"/>
  <c r="D93" i="5"/>
  <c r="D111" i="5"/>
  <c r="D67" i="5"/>
  <c r="D72" i="5"/>
  <c r="D66" i="5"/>
  <c r="D91" i="5"/>
  <c r="D51" i="5"/>
  <c r="D99" i="5"/>
  <c r="D83" i="5"/>
  <c r="D47" i="5"/>
  <c r="D43" i="5"/>
  <c r="D115" i="5"/>
  <c r="D35" i="5"/>
  <c r="D28" i="5"/>
  <c r="D39" i="5"/>
  <c r="D116" i="5"/>
  <c r="D7" i="4"/>
  <c r="D8" i="4"/>
  <c r="D9" i="4"/>
  <c r="D37" i="4"/>
  <c r="D38" i="4"/>
  <c r="D10" i="4"/>
  <c r="D39" i="4"/>
  <c r="D11" i="4"/>
  <c r="D40" i="4"/>
  <c r="D41" i="4"/>
  <c r="D12" i="4"/>
  <c r="D42" i="4"/>
  <c r="D13" i="4"/>
  <c r="D43" i="4"/>
  <c r="D23" i="4"/>
  <c r="D44" i="4"/>
  <c r="D45" i="4"/>
  <c r="D46" i="4"/>
  <c r="D47" i="4"/>
  <c r="D24" i="4"/>
  <c r="D14" i="4"/>
  <c r="D15" i="4"/>
  <c r="D16" i="4"/>
  <c r="D48" i="4"/>
  <c r="D49" i="4"/>
  <c r="D35" i="4"/>
  <c r="D21" i="4"/>
  <c r="D31" i="4"/>
  <c r="D29" i="4"/>
  <c r="D27" i="4"/>
  <c r="D50" i="4"/>
  <c r="D33" i="4"/>
  <c r="D25" i="4"/>
  <c r="D19" i="4"/>
  <c r="D36" i="4"/>
  <c r="D34" i="4"/>
  <c r="D28" i="4"/>
  <c r="D30" i="4"/>
  <c r="D51" i="4"/>
  <c r="D4" i="4"/>
  <c r="D32" i="4"/>
  <c r="D20" i="4"/>
  <c r="D17" i="4"/>
  <c r="D5" i="4"/>
  <c r="D26" i="4"/>
  <c r="D22" i="4"/>
  <c r="D18" i="4"/>
  <c r="D3" i="4"/>
  <c r="D6" i="4"/>
</calcChain>
</file>

<file path=xl/sharedStrings.xml><?xml version="1.0" encoding="utf-8"?>
<sst xmlns="http://schemas.openxmlformats.org/spreadsheetml/2006/main" count="726" uniqueCount="265">
  <si>
    <t>COUNTY</t>
  </si>
  <si>
    <t>IND$</t>
  </si>
  <si>
    <t>DLR$</t>
  </si>
  <si>
    <t>SHARE %</t>
  </si>
  <si>
    <t xml:space="preserve">WA,  Pierce </t>
  </si>
  <si>
    <t xml:space="preserve">WA,  King </t>
  </si>
  <si>
    <t xml:space="preserve">WA,  Snohomish </t>
  </si>
  <si>
    <t xml:space="preserve">NV,  Washoe </t>
  </si>
  <si>
    <t xml:space="preserve">WA,  Spokane </t>
  </si>
  <si>
    <t xml:space="preserve">CA,  Sacramento </t>
  </si>
  <si>
    <t xml:space="preserve">OR,  Deschutes </t>
  </si>
  <si>
    <t xml:space="preserve">ID,  Kootenai </t>
  </si>
  <si>
    <t xml:space="preserve">OR,  Clackamas </t>
  </si>
  <si>
    <t xml:space="preserve">OR,  Jackson </t>
  </si>
  <si>
    <t xml:space="preserve">OR,  Marion </t>
  </si>
  <si>
    <t xml:space="preserve">HI,  Honolulu </t>
  </si>
  <si>
    <t xml:space="preserve">OR,  Lane </t>
  </si>
  <si>
    <t xml:space="preserve">HI,  Hawaii </t>
  </si>
  <si>
    <t xml:space="preserve">CA,  Shasta </t>
  </si>
  <si>
    <t xml:space="preserve">CA,  Placer </t>
  </si>
  <si>
    <t xml:space="preserve">WA,  Clark </t>
  </si>
  <si>
    <t xml:space="preserve">OR,  Multnomah </t>
  </si>
  <si>
    <t xml:space="preserve">WA,  Whatcom </t>
  </si>
  <si>
    <t xml:space="preserve">CA,  San Joaquin </t>
  </si>
  <si>
    <t xml:space="preserve">HI,  Maui </t>
  </si>
  <si>
    <t xml:space="preserve">CA,  Alameda </t>
  </si>
  <si>
    <t xml:space="preserve">CA,  Sonoma </t>
  </si>
  <si>
    <t xml:space="preserve">CA,  Santa Clara </t>
  </si>
  <si>
    <t xml:space="preserve">CA,  Butte </t>
  </si>
  <si>
    <t xml:space="preserve">WA,  Thurston </t>
  </si>
  <si>
    <t xml:space="preserve">HI,  Kauai </t>
  </si>
  <si>
    <t xml:space="preserve">CA,  Stanislaus </t>
  </si>
  <si>
    <t xml:space="preserve">ID,  Bonner </t>
  </si>
  <si>
    <t xml:space="preserve">OR,  Washington </t>
  </si>
  <si>
    <t xml:space="preserve">CA,  El Dorado </t>
  </si>
  <si>
    <t xml:space="preserve">CA,  Fresno </t>
  </si>
  <si>
    <t xml:space="preserve">WA,  Skagit </t>
  </si>
  <si>
    <t xml:space="preserve">WA,  Kitsap </t>
  </si>
  <si>
    <t xml:space="preserve">OR,  Linn </t>
  </si>
  <si>
    <t xml:space="preserve">CA,  Yolo </t>
  </si>
  <si>
    <t xml:space="preserve">OR,  Douglas </t>
  </si>
  <si>
    <t xml:space="preserve">WA,  Lewis </t>
  </si>
  <si>
    <t xml:space="preserve">OR,  Yamhill </t>
  </si>
  <si>
    <t xml:space="preserve">WA,  Cowlitz </t>
  </si>
  <si>
    <t xml:space="preserve">WA,  Yakima </t>
  </si>
  <si>
    <t xml:space="preserve">CA,  Sutter </t>
  </si>
  <si>
    <t xml:space="preserve">CA,  Humboldt </t>
  </si>
  <si>
    <t xml:space="preserve">OR,  Klamath </t>
  </si>
  <si>
    <t xml:space="preserve">CA,  Monterey </t>
  </si>
  <si>
    <t xml:space="preserve">CA,  Merced </t>
  </si>
  <si>
    <t xml:space="preserve">CA,  Contra Costa </t>
  </si>
  <si>
    <t xml:space="preserve">CA,  Nevada </t>
  </si>
  <si>
    <t xml:space="preserve">CA,  Solano </t>
  </si>
  <si>
    <t xml:space="preserve">WA,  Stevens </t>
  </si>
  <si>
    <t xml:space="preserve">CA,  Tulare </t>
  </si>
  <si>
    <t xml:space="preserve">OR,  Josephine </t>
  </si>
  <si>
    <t xml:space="preserve">WA,  Island </t>
  </si>
  <si>
    <t xml:space="preserve">WA,  Chelan </t>
  </si>
  <si>
    <t xml:space="preserve">WA,  Franklin </t>
  </si>
  <si>
    <t xml:space="preserve">CA,  Siskiyou </t>
  </si>
  <si>
    <t xml:space="preserve">WA,  Clallam </t>
  </si>
  <si>
    <t xml:space="preserve">WA,  Grant </t>
  </si>
  <si>
    <t xml:space="preserve">CA,  Mendocino </t>
  </si>
  <si>
    <t xml:space="preserve">OR,  Coos </t>
  </si>
  <si>
    <t xml:space="preserve">OR,  Crook </t>
  </si>
  <si>
    <t xml:space="preserve">OR,  Jefferson </t>
  </si>
  <si>
    <t xml:space="preserve">OR,  Tillamook </t>
  </si>
  <si>
    <t xml:space="preserve">NV,  Douglas </t>
  </si>
  <si>
    <t xml:space="preserve">WA,  Mason </t>
  </si>
  <si>
    <t xml:space="preserve">WA,  Benton </t>
  </si>
  <si>
    <t xml:space="preserve">CA,  San Mateo </t>
  </si>
  <si>
    <t xml:space="preserve">OR,  Polk </t>
  </si>
  <si>
    <t xml:space="preserve">CA,  Calaveras </t>
  </si>
  <si>
    <t xml:space="preserve">ID,  Boundary </t>
  </si>
  <si>
    <t xml:space="preserve">OR,  Columbia </t>
  </si>
  <si>
    <t xml:space="preserve">WA,  Grays Harbor </t>
  </si>
  <si>
    <t xml:space="preserve">WA,  Kittitas </t>
  </si>
  <si>
    <t xml:space="preserve">CA,  Santa Cruz </t>
  </si>
  <si>
    <t xml:space="preserve">NV,  Carson City </t>
  </si>
  <si>
    <t xml:space="preserve">CA,  Yuba </t>
  </si>
  <si>
    <t xml:space="preserve">CA,  Tuolumne </t>
  </si>
  <si>
    <t xml:space="preserve">ID,  Nez Perce </t>
  </si>
  <si>
    <t xml:space="preserve">CA,  Tehama </t>
  </si>
  <si>
    <t xml:space="preserve">OR,  Clatsop </t>
  </si>
  <si>
    <t xml:space="preserve">CA,  Napa </t>
  </si>
  <si>
    <t xml:space="preserve">MT,  Lincoln </t>
  </si>
  <si>
    <t xml:space="preserve">OR,  Curry </t>
  </si>
  <si>
    <t xml:space="preserve">CA,  Lake </t>
  </si>
  <si>
    <t xml:space="preserve">ID,  Latah </t>
  </si>
  <si>
    <t xml:space="preserve">OR,  Lincoln </t>
  </si>
  <si>
    <t xml:space="preserve">OR,  Umatilla </t>
  </si>
  <si>
    <t xml:space="preserve">WA,  Jefferson </t>
  </si>
  <si>
    <t xml:space="preserve">OR,  Benton </t>
  </si>
  <si>
    <t xml:space="preserve">CA,  Madera </t>
  </si>
  <si>
    <t xml:space="preserve">CA,  San Francisco </t>
  </si>
  <si>
    <t xml:space="preserve">CA,  Colusa </t>
  </si>
  <si>
    <t xml:space="preserve">WA,  Okanogan </t>
  </si>
  <si>
    <t xml:space="preserve">OR,  Lake </t>
  </si>
  <si>
    <t xml:space="preserve">WA,  San Juan </t>
  </si>
  <si>
    <t xml:space="preserve">WA,  Douglas </t>
  </si>
  <si>
    <t xml:space="preserve">CA,  Plumas </t>
  </si>
  <si>
    <t xml:space="preserve">OR,  Hood River </t>
  </si>
  <si>
    <t xml:space="preserve">CA,  Marin </t>
  </si>
  <si>
    <t xml:space="preserve">CA,  Glenn </t>
  </si>
  <si>
    <t xml:space="preserve">OR,  Harney </t>
  </si>
  <si>
    <t xml:space="preserve">NV,  Lyon </t>
  </si>
  <si>
    <t xml:space="preserve">ID,  Idaho </t>
  </si>
  <si>
    <t xml:space="preserve">WA,  Pacific </t>
  </si>
  <si>
    <t xml:space="preserve">WA,  Walla Walla </t>
  </si>
  <si>
    <t xml:space="preserve">WA,  Whitman </t>
  </si>
  <si>
    <t xml:space="preserve">NV,  Humboldt </t>
  </si>
  <si>
    <t xml:space="preserve">OR,  Wasco </t>
  </si>
  <si>
    <t xml:space="preserve">CA,  San Benito </t>
  </si>
  <si>
    <t xml:space="preserve">WA,  Klickitat </t>
  </si>
  <si>
    <t xml:space="preserve">ID,  Benewah </t>
  </si>
  <si>
    <t xml:space="preserve">CA,  Del Norte </t>
  </si>
  <si>
    <t xml:space="preserve">CA,  Amador </t>
  </si>
  <si>
    <t xml:space="preserve">OR,  Union </t>
  </si>
  <si>
    <t xml:space="preserve">ID,  Shoshone </t>
  </si>
  <si>
    <t xml:space="preserve">OR,  Grant </t>
  </si>
  <si>
    <t xml:space="preserve">WA,  Columbia </t>
  </si>
  <si>
    <t xml:space="preserve">NV,  Churchill </t>
  </si>
  <si>
    <t xml:space="preserve">CA,  Kings </t>
  </si>
  <si>
    <t xml:space="preserve">OR,  Morrow </t>
  </si>
  <si>
    <t xml:space="preserve">CA,  Mariposa </t>
  </si>
  <si>
    <t xml:space="preserve">NV,  Lander </t>
  </si>
  <si>
    <t xml:space="preserve">OR,  Baker </t>
  </si>
  <si>
    <t xml:space="preserve">WA,  Lincoln </t>
  </si>
  <si>
    <t xml:space="preserve">ID,  Clearwater </t>
  </si>
  <si>
    <t xml:space="preserve">MT,  Sanders </t>
  </si>
  <si>
    <t xml:space="preserve">WA,  Pend Oreille </t>
  </si>
  <si>
    <t xml:space="preserve">WA,  Skamania </t>
  </si>
  <si>
    <t xml:space="preserve">CA,  Lassen </t>
  </si>
  <si>
    <t xml:space="preserve">WA,  Asotin </t>
  </si>
  <si>
    <t xml:space="preserve">NV,  Storey </t>
  </si>
  <si>
    <t xml:space="preserve">NV,  Mineral </t>
  </si>
  <si>
    <t xml:space="preserve">WA,  Wahkiakum </t>
  </si>
  <si>
    <t xml:space="preserve">OR,  Wallowa </t>
  </si>
  <si>
    <t xml:space="preserve">CA,  Trinity </t>
  </si>
  <si>
    <t xml:space="preserve">NV,  Pershing </t>
  </si>
  <si>
    <t xml:space="preserve">OR,  Wheeler </t>
  </si>
  <si>
    <t xml:space="preserve">OR,  Gilliam </t>
  </si>
  <si>
    <t xml:space="preserve">CA,  Sierra </t>
  </si>
  <si>
    <t xml:space="preserve">WA,  Adams </t>
  </si>
  <si>
    <t xml:space="preserve">WA,  Garfield </t>
  </si>
  <si>
    <t xml:space="preserve">HI,  Kalawao </t>
  </si>
  <si>
    <t xml:space="preserve">WA,  Ferry </t>
  </si>
  <si>
    <t xml:space="preserve">ID,  Lewis </t>
  </si>
  <si>
    <t xml:space="preserve">OR,  Sherman </t>
  </si>
  <si>
    <t xml:space="preserve">CA,  Modoc </t>
  </si>
  <si>
    <t xml:space="preserve">NV,  Eureka </t>
  </si>
  <si>
    <t xml:space="preserve">CA,  Mono </t>
  </si>
  <si>
    <t xml:space="preserve">NV,  Nye </t>
  </si>
  <si>
    <t xml:space="preserve">CA,  Alpine </t>
  </si>
  <si>
    <t>CA</t>
  </si>
  <si>
    <t>Butte</t>
  </si>
  <si>
    <t>Colusa</t>
  </si>
  <si>
    <t>El Dorado</t>
  </si>
  <si>
    <t>Glenn</t>
  </si>
  <si>
    <t>Humboldt</t>
  </si>
  <si>
    <t>Lassen</t>
  </si>
  <si>
    <t>Modoc</t>
  </si>
  <si>
    <t>Mono</t>
  </si>
  <si>
    <t>Placer</t>
  </si>
  <si>
    <t>Plumas</t>
  </si>
  <si>
    <t>Sacramento</t>
  </si>
  <si>
    <t>Shasta</t>
  </si>
  <si>
    <t>Sierra</t>
  </si>
  <si>
    <t>Siskiyou</t>
  </si>
  <si>
    <t>Solano</t>
  </si>
  <si>
    <t>Sutter</t>
  </si>
  <si>
    <t>Tehama</t>
  </si>
  <si>
    <t>Tuolumne</t>
  </si>
  <si>
    <t>Yolo</t>
  </si>
  <si>
    <t>Yuba</t>
  </si>
  <si>
    <t>ID</t>
  </si>
  <si>
    <t>Benewah</t>
  </si>
  <si>
    <t>Bonner</t>
  </si>
  <si>
    <t>Boundary</t>
  </si>
  <si>
    <t>Kootenai</t>
  </si>
  <si>
    <t>Latah</t>
  </si>
  <si>
    <t>Nez Perce</t>
  </si>
  <si>
    <t>MT</t>
  </si>
  <si>
    <t>Lincoln</t>
  </si>
  <si>
    <t>Sanders</t>
  </si>
  <si>
    <t>NV</t>
  </si>
  <si>
    <t>Churchill</t>
  </si>
  <si>
    <t>Douglas</t>
  </si>
  <si>
    <t>Esmeralda</t>
  </si>
  <si>
    <t>Eureka</t>
  </si>
  <si>
    <t>Lander</t>
  </si>
  <si>
    <t>Lyon</t>
  </si>
  <si>
    <t>Mineral</t>
  </si>
  <si>
    <t>Nye</t>
  </si>
  <si>
    <t>Pershing</t>
  </si>
  <si>
    <t>Storey</t>
  </si>
  <si>
    <t>Washoe</t>
  </si>
  <si>
    <t>OR</t>
  </si>
  <si>
    <t>Benton</t>
  </si>
  <si>
    <t>Clackamas</t>
  </si>
  <si>
    <t>Clatsop</t>
  </si>
  <si>
    <t>Columbia</t>
  </si>
  <si>
    <t>Coos</t>
  </si>
  <si>
    <t>Crook</t>
  </si>
  <si>
    <t>Deschutes</t>
  </si>
  <si>
    <t>Harney</t>
  </si>
  <si>
    <t>Hood River</t>
  </si>
  <si>
    <t>Jackson</t>
  </si>
  <si>
    <t>Jefferson</t>
  </si>
  <si>
    <t>Josephine</t>
  </si>
  <si>
    <t>Klamath</t>
  </si>
  <si>
    <t>Lake</t>
  </si>
  <si>
    <t>Lane</t>
  </si>
  <si>
    <t>Linn</t>
  </si>
  <si>
    <t>Marion</t>
  </si>
  <si>
    <t>Multnomah</t>
  </si>
  <si>
    <t>Polk</t>
  </si>
  <si>
    <t>Tillamook</t>
  </si>
  <si>
    <t>Umatilla</t>
  </si>
  <si>
    <t>Wasco</t>
  </si>
  <si>
    <t>Washington</t>
  </si>
  <si>
    <t>Wheeler</t>
  </si>
  <si>
    <t>Yamhill</t>
  </si>
  <si>
    <t>WA</t>
  </si>
  <si>
    <t>Asotin</t>
  </si>
  <si>
    <t>Chelan</t>
  </si>
  <si>
    <t>Clallam</t>
  </si>
  <si>
    <t>Clark</t>
  </si>
  <si>
    <t>Cowlitz</t>
  </si>
  <si>
    <t>Ferry</t>
  </si>
  <si>
    <t>Garfield</t>
  </si>
  <si>
    <t>Grant</t>
  </si>
  <si>
    <t>Grays Harbor</t>
  </si>
  <si>
    <t>Island</t>
  </si>
  <si>
    <t>King</t>
  </si>
  <si>
    <t>Kitsap</t>
  </si>
  <si>
    <t>Kittitas</t>
  </si>
  <si>
    <t>Lewis</t>
  </si>
  <si>
    <t>Mason</t>
  </si>
  <si>
    <t>Okanogan</t>
  </si>
  <si>
    <t>Pend Oreille</t>
  </si>
  <si>
    <t>Pierce</t>
  </si>
  <si>
    <t>San Juan</t>
  </si>
  <si>
    <t>Skagit</t>
  </si>
  <si>
    <t>Skamania</t>
  </si>
  <si>
    <t>Snohomish</t>
  </si>
  <si>
    <t>Spokane</t>
  </si>
  <si>
    <t>Stevens</t>
  </si>
  <si>
    <t>Thurston</t>
  </si>
  <si>
    <t>Walla Walla</t>
  </si>
  <si>
    <t>Whatcom</t>
  </si>
  <si>
    <t>Whitman</t>
  </si>
  <si>
    <t>Yakima</t>
  </si>
  <si>
    <t>State</t>
  </si>
  <si>
    <t>County</t>
  </si>
  <si>
    <t>EA Breadth %</t>
  </si>
  <si>
    <t>HEA Depth %</t>
  </si>
  <si>
    <t>Tech Adoption %</t>
  </si>
  <si>
    <t>PAES %</t>
  </si>
  <si>
    <t>PRECISION AG ENGAGEMENT SCORE</t>
  </si>
  <si>
    <t>COMPACT CONSTRUCTION MARKET SHARE</t>
  </si>
  <si>
    <t>LARGE AG MARKET SHARE</t>
  </si>
  <si>
    <t>MID HAY &amp; FORAGE MARKET SHARE</t>
  </si>
  <si>
    <t>50 &lt; 100 EHP TRACTOR MARKET SHARE</t>
  </si>
  <si>
    <t>&lt; 50 EHP TRACTOR MARKET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</si>
</sst>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5" formatCode="_(&quot;$&quot;* #,##0.000_);_(&quot;$&quot;* \(#,##0.000\);_(&quot;$&quot;* &quot;-&quot;??_);_(@_)"/>
    <numFmt numFmtId="166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b/>
      <sz val="11"/>
      <color rgb="FFFFFF00"/>
      <name val="Aptos Narrow"/>
      <family val="2"/>
      <scheme val="minor"/>
    </font>
    <font>
      <b/>
      <sz val="11"/>
      <name val="Calibri"/>
      <family val="2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4" fillId="4" borderId="0" xfId="0" applyFont="1" applyFill="1" applyAlignment="1">
      <alignment horizontal="center"/>
    </xf>
    <xf numFmtId="165" fontId="4" fillId="4" borderId="0" xfId="1" applyNumberFormat="1" applyFont="1" applyFill="1" applyAlignment="1">
      <alignment horizontal="center"/>
    </xf>
    <xf numFmtId="165" fontId="0" fillId="3" borderId="0" xfId="1" applyNumberFormat="1" applyFont="1" applyFill="1"/>
    <xf numFmtId="9" fontId="4" fillId="4" borderId="0" xfId="2" applyFont="1" applyFill="1" applyAlignment="1">
      <alignment horizontal="center"/>
    </xf>
    <xf numFmtId="9" fontId="0" fillId="3" borderId="0" xfId="2" applyFont="1" applyFill="1"/>
    <xf numFmtId="165" fontId="2" fillId="2" borderId="0" xfId="1" applyNumberFormat="1" applyFont="1" applyFill="1" applyAlignment="1">
      <alignment horizontal="center"/>
    </xf>
    <xf numFmtId="165" fontId="3" fillId="3" borderId="1" xfId="1" applyNumberFormat="1" applyFont="1" applyFill="1" applyBorder="1" applyAlignment="1">
      <alignment horizontal="center" wrapText="1"/>
    </xf>
    <xf numFmtId="165" fontId="0" fillId="3" borderId="0" xfId="1" applyNumberFormat="1" applyFont="1" applyFill="1" applyAlignment="1">
      <alignment horizontal="center"/>
    </xf>
    <xf numFmtId="166" fontId="3" fillId="3" borderId="1" xfId="2" applyNumberFormat="1" applyFont="1" applyFill="1" applyBorder="1" applyAlignment="1">
      <alignment horizontal="center" wrapText="1"/>
    </xf>
    <xf numFmtId="165" fontId="5" fillId="3" borderId="1" xfId="1" applyNumberFormat="1" applyFont="1" applyFill="1" applyBorder="1" applyAlignment="1">
      <alignment horizontal="center" wrapText="1"/>
    </xf>
    <xf numFmtId="166" fontId="5" fillId="3" borderId="1" xfId="2" applyNumberFormat="1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165" fontId="0" fillId="3" borderId="1" xfId="1" applyNumberFormat="1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6" fillId="0" borderId="0" xfId="0" applyFont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8B37-0B42-4F1D-BB98-08DFD0970BCA}">
  <dimension ref="A1:D114"/>
  <sheetViews>
    <sheetView tabSelected="1" workbookViewId="0">
      <selection activeCell="H24" sqref="H24"/>
    </sheetView>
  </sheetViews>
  <sheetFormatPr defaultRowHeight="15" x14ac:dyDescent="0.25"/>
  <cols>
    <col min="1" max="1" width="25.7109375" style="3" customWidth="1"/>
    <col min="2" max="3" width="10.7109375" style="7" customWidth="1"/>
    <col min="4" max="4" width="10.7109375" style="9" customWidth="1"/>
    <col min="5" max="16384" width="9.140625" style="3"/>
  </cols>
  <sheetData>
    <row r="1" spans="1:4" ht="21" x14ac:dyDescent="0.35">
      <c r="A1" s="23" t="s">
        <v>264</v>
      </c>
    </row>
    <row r="2" spans="1:4" x14ac:dyDescent="0.25">
      <c r="A2" s="5" t="s">
        <v>0</v>
      </c>
      <c r="B2" s="6" t="s">
        <v>1</v>
      </c>
      <c r="C2" s="6" t="s">
        <v>2</v>
      </c>
      <c r="D2" s="8" t="s">
        <v>3</v>
      </c>
    </row>
    <row r="3" spans="1:4" x14ac:dyDescent="0.25">
      <c r="A3" s="16" t="s">
        <v>140</v>
      </c>
      <c r="B3" s="17">
        <v>8.0000000000000002E-3</v>
      </c>
      <c r="C3" s="14">
        <v>1.6E-2</v>
      </c>
      <c r="D3" s="15">
        <f>C3/B3</f>
        <v>2</v>
      </c>
    </row>
    <row r="4" spans="1:4" x14ac:dyDescent="0.25">
      <c r="A4" s="16" t="s">
        <v>135</v>
      </c>
      <c r="B4" s="17">
        <v>1.6E-2</v>
      </c>
      <c r="C4" s="14">
        <v>1.6E-2</v>
      </c>
      <c r="D4" s="15">
        <f>C4/B4</f>
        <v>1</v>
      </c>
    </row>
    <row r="5" spans="1:4" x14ac:dyDescent="0.25">
      <c r="A5" s="16" t="s">
        <v>133</v>
      </c>
      <c r="B5" s="17">
        <v>6.6000000000000003E-2</v>
      </c>
      <c r="C5" s="14">
        <v>4.1000000000000002E-2</v>
      </c>
      <c r="D5" s="15">
        <f>C5/B5</f>
        <v>0.62121212121212122</v>
      </c>
    </row>
    <row r="6" spans="1:4" x14ac:dyDescent="0.25">
      <c r="A6" s="16" t="s">
        <v>120</v>
      </c>
      <c r="B6" s="17">
        <v>0.09</v>
      </c>
      <c r="C6" s="14">
        <v>4.9000000000000002E-2</v>
      </c>
      <c r="D6" s="15">
        <f>C6/B6</f>
        <v>0.54444444444444451</v>
      </c>
    </row>
    <row r="7" spans="1:4" x14ac:dyDescent="0.25">
      <c r="A7" s="16" t="s">
        <v>108</v>
      </c>
      <c r="B7" s="17">
        <v>0.32900000000000001</v>
      </c>
      <c r="C7" s="14">
        <v>0.17399999999999999</v>
      </c>
      <c r="D7" s="15">
        <f>C7/B7</f>
        <v>0.52887537993920963</v>
      </c>
    </row>
    <row r="8" spans="1:4" x14ac:dyDescent="0.25">
      <c r="A8" s="16" t="s">
        <v>61</v>
      </c>
      <c r="B8" s="17">
        <v>0.41799999999999998</v>
      </c>
      <c r="C8" s="14">
        <v>0.214</v>
      </c>
      <c r="D8" s="15">
        <f>C8/B8</f>
        <v>0.51196172248803828</v>
      </c>
    </row>
    <row r="9" spans="1:4" x14ac:dyDescent="0.25">
      <c r="A9" s="16" t="s">
        <v>45</v>
      </c>
      <c r="B9" s="17">
        <v>0.47699999999999998</v>
      </c>
      <c r="C9" s="14">
        <v>0.24199999999999999</v>
      </c>
      <c r="D9" s="15">
        <f>C9/B9</f>
        <v>0.5073375262054507</v>
      </c>
    </row>
    <row r="10" spans="1:4" x14ac:dyDescent="0.25">
      <c r="A10" s="16" t="s">
        <v>115</v>
      </c>
      <c r="B10" s="17">
        <v>0.16400000000000001</v>
      </c>
      <c r="C10" s="14">
        <v>8.2000000000000003E-2</v>
      </c>
      <c r="D10" s="15">
        <f>C10/B10</f>
        <v>0.5</v>
      </c>
    </row>
    <row r="11" spans="1:4" x14ac:dyDescent="0.25">
      <c r="A11" s="16" t="s">
        <v>42</v>
      </c>
      <c r="B11" s="17">
        <v>1.712</v>
      </c>
      <c r="C11" s="14">
        <v>0.78900000000000003</v>
      </c>
      <c r="D11" s="15">
        <f>C11/B11</f>
        <v>0.46086448598130841</v>
      </c>
    </row>
    <row r="12" spans="1:4" x14ac:dyDescent="0.25">
      <c r="A12" s="16" t="s">
        <v>38</v>
      </c>
      <c r="B12" s="17">
        <v>1.6890000000000001</v>
      </c>
      <c r="C12" s="14">
        <v>0.72199999999999998</v>
      </c>
      <c r="D12" s="15">
        <f>C12/B12</f>
        <v>0.42747187685020721</v>
      </c>
    </row>
    <row r="13" spans="1:4" x14ac:dyDescent="0.25">
      <c r="A13" s="16" t="s">
        <v>76</v>
      </c>
      <c r="B13" s="17">
        <v>1.157</v>
      </c>
      <c r="C13" s="14">
        <v>0.49399999999999999</v>
      </c>
      <c r="D13" s="15">
        <f>C13/B13</f>
        <v>0.42696629213483145</v>
      </c>
    </row>
    <row r="14" spans="1:4" x14ac:dyDescent="0.25">
      <c r="A14" s="16" t="s">
        <v>44</v>
      </c>
      <c r="B14" s="17">
        <v>1.224</v>
      </c>
      <c r="C14" s="14">
        <v>0.51100000000000001</v>
      </c>
      <c r="D14" s="15">
        <f>C14/B14</f>
        <v>0.41748366013071897</v>
      </c>
    </row>
    <row r="15" spans="1:4" x14ac:dyDescent="0.25">
      <c r="A15" s="16" t="s">
        <v>14</v>
      </c>
      <c r="B15" s="17">
        <v>3.2690000000000001</v>
      </c>
      <c r="C15" s="14">
        <v>1.36</v>
      </c>
      <c r="D15" s="15">
        <f>C15/B15</f>
        <v>0.41602936677883146</v>
      </c>
    </row>
    <row r="16" spans="1:4" x14ac:dyDescent="0.25">
      <c r="A16" s="16" t="s">
        <v>98</v>
      </c>
      <c r="B16" s="17">
        <v>0.13900000000000001</v>
      </c>
      <c r="C16" s="14">
        <v>5.7000000000000002E-2</v>
      </c>
      <c r="D16" s="15">
        <f>C16/B16</f>
        <v>0.41007194244604317</v>
      </c>
    </row>
    <row r="17" spans="1:4" x14ac:dyDescent="0.25">
      <c r="A17" s="16" t="s">
        <v>107</v>
      </c>
      <c r="B17" s="17">
        <v>0.14399999999999999</v>
      </c>
      <c r="C17" s="14">
        <v>5.7000000000000002E-2</v>
      </c>
      <c r="D17" s="15">
        <f>C17/B17</f>
        <v>0.39583333333333337</v>
      </c>
    </row>
    <row r="18" spans="1:4" x14ac:dyDescent="0.25">
      <c r="A18" s="16" t="s">
        <v>99</v>
      </c>
      <c r="B18" s="17">
        <v>0.16700000000000001</v>
      </c>
      <c r="C18" s="14">
        <v>6.6000000000000003E-2</v>
      </c>
      <c r="D18" s="15">
        <f>C18/B18</f>
        <v>0.39520958083832336</v>
      </c>
    </row>
    <row r="19" spans="1:4" x14ac:dyDescent="0.25">
      <c r="A19" s="16" t="s">
        <v>127</v>
      </c>
      <c r="B19" s="17">
        <v>0.19600000000000001</v>
      </c>
      <c r="C19" s="14">
        <v>7.3999999999999996E-2</v>
      </c>
      <c r="D19" s="15">
        <f>C19/B19</f>
        <v>0.37755102040816324</v>
      </c>
    </row>
    <row r="20" spans="1:4" x14ac:dyDescent="0.25">
      <c r="A20" s="16" t="s">
        <v>12</v>
      </c>
      <c r="B20" s="17">
        <v>4.3049999999999997</v>
      </c>
      <c r="C20" s="14">
        <v>1.464</v>
      </c>
      <c r="D20" s="15">
        <f>C20/B20</f>
        <v>0.34006968641114982</v>
      </c>
    </row>
    <row r="21" spans="1:4" x14ac:dyDescent="0.25">
      <c r="A21" s="16" t="s">
        <v>21</v>
      </c>
      <c r="B21" s="17">
        <v>0.56499999999999995</v>
      </c>
      <c r="C21" s="14">
        <v>0.186</v>
      </c>
      <c r="D21" s="15">
        <f>C21/B21</f>
        <v>0.32920353982300887</v>
      </c>
    </row>
    <row r="22" spans="1:4" x14ac:dyDescent="0.25">
      <c r="A22" s="16" t="s">
        <v>55</v>
      </c>
      <c r="B22" s="17">
        <v>1.4039999999999999</v>
      </c>
      <c r="C22" s="14">
        <v>0.44500000000000001</v>
      </c>
      <c r="D22" s="15">
        <f>C22/B22</f>
        <v>0.31695156695156695</v>
      </c>
    </row>
    <row r="23" spans="1:4" x14ac:dyDescent="0.25">
      <c r="A23" s="16" t="s">
        <v>81</v>
      </c>
      <c r="B23" s="17">
        <v>0.19</v>
      </c>
      <c r="C23" s="14">
        <v>5.8999999999999997E-2</v>
      </c>
      <c r="D23" s="15">
        <f>C23/B23</f>
        <v>0.31052631578947365</v>
      </c>
    </row>
    <row r="24" spans="1:4" x14ac:dyDescent="0.25">
      <c r="A24" s="16" t="s">
        <v>100</v>
      </c>
      <c r="B24" s="17">
        <v>0.188</v>
      </c>
      <c r="C24" s="14">
        <v>5.7000000000000002E-2</v>
      </c>
      <c r="D24" s="15">
        <f>C24/B24</f>
        <v>0.30319148936170215</v>
      </c>
    </row>
    <row r="25" spans="1:4" x14ac:dyDescent="0.25">
      <c r="A25" s="16" t="s">
        <v>136</v>
      </c>
      <c r="B25" s="17">
        <v>5.2999999999999999E-2</v>
      </c>
      <c r="C25" s="14">
        <v>1.6E-2</v>
      </c>
      <c r="D25" s="15">
        <f>C25/B25</f>
        <v>0.30188679245283018</v>
      </c>
    </row>
    <row r="26" spans="1:4" x14ac:dyDescent="0.25">
      <c r="A26" s="16" t="s">
        <v>40</v>
      </c>
      <c r="B26" s="17">
        <v>2.5840000000000001</v>
      </c>
      <c r="C26" s="14">
        <v>0.77300000000000002</v>
      </c>
      <c r="D26" s="15">
        <f>C26/B26</f>
        <v>0.29914860681114552</v>
      </c>
    </row>
    <row r="27" spans="1:4" x14ac:dyDescent="0.25">
      <c r="A27" s="16" t="s">
        <v>9</v>
      </c>
      <c r="B27" s="17">
        <v>1.391</v>
      </c>
      <c r="C27" s="14">
        <v>0.40799999999999997</v>
      </c>
      <c r="D27" s="15">
        <f>C27/B27</f>
        <v>0.29331416247304093</v>
      </c>
    </row>
    <row r="28" spans="1:4" x14ac:dyDescent="0.25">
      <c r="A28" s="16" t="s">
        <v>33</v>
      </c>
      <c r="B28" s="17">
        <v>2.5230000000000001</v>
      </c>
      <c r="C28" s="14">
        <v>0.73299999999999998</v>
      </c>
      <c r="D28" s="15">
        <f>C28/B28</f>
        <v>0.29052715021799441</v>
      </c>
    </row>
    <row r="29" spans="1:4" x14ac:dyDescent="0.25">
      <c r="A29" s="16" t="s">
        <v>64</v>
      </c>
      <c r="B29" s="17">
        <v>0.89800000000000002</v>
      </c>
      <c r="C29" s="14">
        <v>0.25900000000000001</v>
      </c>
      <c r="D29" s="15">
        <f>C29/B29</f>
        <v>0.2884187082405345</v>
      </c>
    </row>
    <row r="30" spans="1:4" x14ac:dyDescent="0.25">
      <c r="A30" s="16" t="s">
        <v>86</v>
      </c>
      <c r="B30" s="17">
        <v>0.23</v>
      </c>
      <c r="C30" s="14">
        <v>6.6000000000000003E-2</v>
      </c>
      <c r="D30" s="15">
        <f>C30/B30</f>
        <v>0.28695652173913044</v>
      </c>
    </row>
    <row r="31" spans="1:4" x14ac:dyDescent="0.25">
      <c r="A31" s="16" t="s">
        <v>13</v>
      </c>
      <c r="B31" s="17">
        <v>2.496</v>
      </c>
      <c r="C31" s="14">
        <v>0.71499999999999997</v>
      </c>
      <c r="D31" s="15">
        <f>C31/B31</f>
        <v>0.28645833333333331</v>
      </c>
    </row>
    <row r="32" spans="1:4" x14ac:dyDescent="0.25">
      <c r="A32" s="16" t="s">
        <v>32</v>
      </c>
      <c r="B32" s="17">
        <v>1.3109999999999999</v>
      </c>
      <c r="C32" s="14">
        <v>0.375</v>
      </c>
      <c r="D32" s="15">
        <f>C32/B32</f>
        <v>0.28604118993135014</v>
      </c>
    </row>
    <row r="33" spans="1:4" x14ac:dyDescent="0.25">
      <c r="A33" s="16" t="s">
        <v>146</v>
      </c>
      <c r="B33" s="17">
        <v>0.161</v>
      </c>
      <c r="C33" s="14">
        <v>4.5999999999999999E-2</v>
      </c>
      <c r="D33" s="15">
        <f>C33/B33</f>
        <v>0.2857142857142857</v>
      </c>
    </row>
    <row r="34" spans="1:4" x14ac:dyDescent="0.25">
      <c r="A34" s="16" t="s">
        <v>66</v>
      </c>
      <c r="B34" s="17">
        <v>0.26</v>
      </c>
      <c r="C34" s="14">
        <v>7.0000000000000007E-2</v>
      </c>
      <c r="D34" s="15">
        <f>C34/B34</f>
        <v>0.26923076923076927</v>
      </c>
    </row>
    <row r="35" spans="1:4" x14ac:dyDescent="0.25">
      <c r="A35" s="16" t="s">
        <v>89</v>
      </c>
      <c r="B35" s="17">
        <v>0.498</v>
      </c>
      <c r="C35" s="14">
        <v>0.13100000000000001</v>
      </c>
      <c r="D35" s="15">
        <f>C35/B35</f>
        <v>0.26305220883534136</v>
      </c>
    </row>
    <row r="36" spans="1:4" x14ac:dyDescent="0.25">
      <c r="A36" s="16" t="s">
        <v>5</v>
      </c>
      <c r="B36" s="17">
        <v>3.9260000000000002</v>
      </c>
      <c r="C36" s="14">
        <v>1.002</v>
      </c>
      <c r="D36" s="15">
        <f>C36/B36</f>
        <v>0.25522159959246049</v>
      </c>
    </row>
    <row r="37" spans="1:4" x14ac:dyDescent="0.25">
      <c r="A37" s="16" t="s">
        <v>65</v>
      </c>
      <c r="B37" s="17">
        <v>0.48199999999999998</v>
      </c>
      <c r="C37" s="14">
        <v>0.123</v>
      </c>
      <c r="D37" s="15">
        <f>C37/B37</f>
        <v>0.25518672199170123</v>
      </c>
    </row>
    <row r="38" spans="1:4" x14ac:dyDescent="0.25">
      <c r="A38" s="16" t="s">
        <v>56</v>
      </c>
      <c r="B38" s="17">
        <v>1.256</v>
      </c>
      <c r="C38" s="14">
        <v>0.317</v>
      </c>
      <c r="D38" s="15">
        <f>C38/B38</f>
        <v>0.25238853503184716</v>
      </c>
    </row>
    <row r="39" spans="1:4" x14ac:dyDescent="0.25">
      <c r="A39" s="16" t="s">
        <v>96</v>
      </c>
      <c r="B39" s="17">
        <v>1.2889999999999999</v>
      </c>
      <c r="C39" s="14">
        <v>0.32100000000000001</v>
      </c>
      <c r="D39" s="15">
        <f>C39/B39</f>
        <v>0.24903025601241274</v>
      </c>
    </row>
    <row r="40" spans="1:4" x14ac:dyDescent="0.25">
      <c r="A40" s="16" t="s">
        <v>28</v>
      </c>
      <c r="B40" s="17">
        <v>2.5230000000000001</v>
      </c>
      <c r="C40" s="14">
        <v>0.622</v>
      </c>
      <c r="D40" s="15">
        <f>C40/B40</f>
        <v>0.24653190646056281</v>
      </c>
    </row>
    <row r="41" spans="1:4" x14ac:dyDescent="0.25">
      <c r="A41" s="16" t="s">
        <v>41</v>
      </c>
      <c r="B41" s="17">
        <v>3.3010000000000002</v>
      </c>
      <c r="C41" s="14">
        <v>0.80800000000000005</v>
      </c>
      <c r="D41" s="15">
        <f>C41/B41</f>
        <v>0.24477431081490458</v>
      </c>
    </row>
    <row r="42" spans="1:4" x14ac:dyDescent="0.25">
      <c r="A42" s="16" t="s">
        <v>110</v>
      </c>
      <c r="B42" s="17">
        <v>0.13700000000000001</v>
      </c>
      <c r="C42" s="14">
        <v>3.3000000000000002E-2</v>
      </c>
      <c r="D42" s="15">
        <f>C42/B42</f>
        <v>0.24087591240875911</v>
      </c>
    </row>
    <row r="43" spans="1:4" x14ac:dyDescent="0.25">
      <c r="A43" s="16" t="s">
        <v>79</v>
      </c>
      <c r="B43" s="17">
        <v>1.026</v>
      </c>
      <c r="C43" s="14">
        <v>0.246</v>
      </c>
      <c r="D43" s="15">
        <f>C43/B43</f>
        <v>0.23976608187134502</v>
      </c>
    </row>
    <row r="44" spans="1:4" x14ac:dyDescent="0.25">
      <c r="A44" s="16" t="s">
        <v>39</v>
      </c>
      <c r="B44" s="17">
        <v>0.623</v>
      </c>
      <c r="C44" s="14">
        <v>0.14899999999999999</v>
      </c>
      <c r="D44" s="15">
        <f>C44/B44</f>
        <v>0.2391653290529695</v>
      </c>
    </row>
    <row r="45" spans="1:4" x14ac:dyDescent="0.25">
      <c r="A45" s="16" t="s">
        <v>138</v>
      </c>
      <c r="B45" s="17">
        <v>0.20499999999999999</v>
      </c>
      <c r="C45" s="14">
        <v>4.9000000000000002E-2</v>
      </c>
      <c r="D45" s="15">
        <f>C45/B45</f>
        <v>0.23902439024390246</v>
      </c>
    </row>
    <row r="46" spans="1:4" x14ac:dyDescent="0.25">
      <c r="A46" s="16" t="s">
        <v>4</v>
      </c>
      <c r="B46" s="17">
        <v>4.3680000000000003</v>
      </c>
      <c r="C46" s="14">
        <v>1.0369999999999999</v>
      </c>
      <c r="D46" s="15">
        <f>C46/B46</f>
        <v>0.23740842490842487</v>
      </c>
    </row>
    <row r="47" spans="1:4" x14ac:dyDescent="0.25">
      <c r="A47" s="16" t="s">
        <v>24</v>
      </c>
      <c r="B47" s="17">
        <v>0.84899999999999998</v>
      </c>
      <c r="C47" s="14">
        <v>0.19800000000000001</v>
      </c>
      <c r="D47" s="15">
        <f>C47/B47</f>
        <v>0.23321554770318023</v>
      </c>
    </row>
    <row r="48" spans="1:4" x14ac:dyDescent="0.25">
      <c r="A48" s="16" t="s">
        <v>121</v>
      </c>
      <c r="B48" s="17">
        <v>0.68400000000000005</v>
      </c>
      <c r="C48" s="14">
        <v>0.156</v>
      </c>
      <c r="D48" s="15">
        <f>C48/B48</f>
        <v>0.22807017543859648</v>
      </c>
    </row>
    <row r="49" spans="1:4" x14ac:dyDescent="0.25">
      <c r="A49" s="16" t="s">
        <v>114</v>
      </c>
      <c r="B49" s="17">
        <v>0.36</v>
      </c>
      <c r="C49" s="14">
        <v>8.2000000000000003E-2</v>
      </c>
      <c r="D49" s="15">
        <f>C49/B49</f>
        <v>0.2277777777777778</v>
      </c>
    </row>
    <row r="50" spans="1:4" x14ac:dyDescent="0.25">
      <c r="A50" s="16" t="s">
        <v>6</v>
      </c>
      <c r="B50" s="17">
        <v>4.5970000000000004</v>
      </c>
      <c r="C50" s="14">
        <v>1.0409999999999999</v>
      </c>
      <c r="D50" s="15">
        <f>C50/B50</f>
        <v>0.22645203393517507</v>
      </c>
    </row>
    <row r="51" spans="1:4" x14ac:dyDescent="0.25">
      <c r="A51" s="16" t="s">
        <v>16</v>
      </c>
      <c r="B51" s="17">
        <v>4.1100000000000003</v>
      </c>
      <c r="C51" s="14">
        <v>0.91400000000000003</v>
      </c>
      <c r="D51" s="15">
        <f>C51/B51</f>
        <v>0.22238442822384427</v>
      </c>
    </row>
    <row r="52" spans="1:4" x14ac:dyDescent="0.25">
      <c r="A52" s="16" t="s">
        <v>109</v>
      </c>
      <c r="B52" s="17">
        <v>0.33300000000000002</v>
      </c>
      <c r="C52" s="14">
        <v>7.3999999999999996E-2</v>
      </c>
      <c r="D52" s="15">
        <f>C52/B52</f>
        <v>0.22222222222222221</v>
      </c>
    </row>
    <row r="53" spans="1:4" x14ac:dyDescent="0.25">
      <c r="A53" s="16" t="s">
        <v>15</v>
      </c>
      <c r="B53" s="17">
        <v>1.25</v>
      </c>
      <c r="C53" s="14">
        <v>0.27200000000000002</v>
      </c>
      <c r="D53" s="15">
        <f>C53/B53</f>
        <v>0.21760000000000002</v>
      </c>
    </row>
    <row r="54" spans="1:4" x14ac:dyDescent="0.25">
      <c r="A54" s="16" t="s">
        <v>10</v>
      </c>
      <c r="B54" s="17">
        <v>3.4409999999999998</v>
      </c>
      <c r="C54" s="14">
        <v>0.74399999999999999</v>
      </c>
      <c r="D54" s="15">
        <f>C54/B54</f>
        <v>0.21621621621621623</v>
      </c>
    </row>
    <row r="55" spans="1:4" x14ac:dyDescent="0.25">
      <c r="A55" s="16" t="s">
        <v>36</v>
      </c>
      <c r="B55" s="17">
        <v>1.262</v>
      </c>
      <c r="C55" s="14">
        <v>0.27100000000000002</v>
      </c>
      <c r="D55" s="15">
        <f>C55/B55</f>
        <v>0.21473851030110935</v>
      </c>
    </row>
    <row r="56" spans="1:4" x14ac:dyDescent="0.25">
      <c r="A56" s="16" t="s">
        <v>101</v>
      </c>
      <c r="B56" s="17">
        <v>0.317</v>
      </c>
      <c r="C56" s="14">
        <v>6.6000000000000003E-2</v>
      </c>
      <c r="D56" s="15">
        <f>C56/B56</f>
        <v>0.20820189274447951</v>
      </c>
    </row>
    <row r="57" spans="1:4" x14ac:dyDescent="0.25">
      <c r="A57" s="16" t="s">
        <v>149</v>
      </c>
      <c r="B57" s="17">
        <v>0.20599999999999999</v>
      </c>
      <c r="C57" s="14">
        <v>4.1000000000000002E-2</v>
      </c>
      <c r="D57" s="15">
        <f>C57/B57</f>
        <v>0.19902912621359226</v>
      </c>
    </row>
    <row r="58" spans="1:4" x14ac:dyDescent="0.25">
      <c r="A58" s="16" t="s">
        <v>22</v>
      </c>
      <c r="B58" s="17">
        <v>2.2410000000000001</v>
      </c>
      <c r="C58" s="14">
        <v>0.44500000000000001</v>
      </c>
      <c r="D58" s="15">
        <f>C58/B58</f>
        <v>0.19857206604194555</v>
      </c>
    </row>
    <row r="59" spans="1:4" x14ac:dyDescent="0.25">
      <c r="A59" s="16" t="s">
        <v>88</v>
      </c>
      <c r="B59" s="17">
        <v>0.38</v>
      </c>
      <c r="C59" s="14">
        <v>7.3999999999999996E-2</v>
      </c>
      <c r="D59" s="15">
        <f>C59/B59</f>
        <v>0.19473684210526315</v>
      </c>
    </row>
    <row r="60" spans="1:4" x14ac:dyDescent="0.25">
      <c r="A60" s="16" t="s">
        <v>51</v>
      </c>
      <c r="B60" s="17">
        <v>0.48899999999999999</v>
      </c>
      <c r="C60" s="14">
        <v>9.5000000000000001E-2</v>
      </c>
      <c r="D60" s="15">
        <f>C60/B60</f>
        <v>0.19427402862985685</v>
      </c>
    </row>
    <row r="61" spans="1:4" x14ac:dyDescent="0.25">
      <c r="A61" s="16" t="s">
        <v>95</v>
      </c>
      <c r="B61" s="17">
        <v>0.215</v>
      </c>
      <c r="C61" s="14">
        <v>4.1000000000000002E-2</v>
      </c>
      <c r="D61" s="15">
        <f>C61/B61</f>
        <v>0.19069767441860466</v>
      </c>
    </row>
    <row r="62" spans="1:4" x14ac:dyDescent="0.25">
      <c r="A62" s="16" t="s">
        <v>29</v>
      </c>
      <c r="B62" s="17">
        <v>2.5819999999999999</v>
      </c>
      <c r="C62" s="14">
        <v>0.48299999999999998</v>
      </c>
      <c r="D62" s="15">
        <f>C62/B62</f>
        <v>0.18706429124709528</v>
      </c>
    </row>
    <row r="63" spans="1:4" x14ac:dyDescent="0.25">
      <c r="A63" s="16" t="s">
        <v>37</v>
      </c>
      <c r="B63" s="17">
        <v>2.1579999999999999</v>
      </c>
      <c r="C63" s="14">
        <v>0.39900000000000002</v>
      </c>
      <c r="D63" s="15">
        <f>C63/B63</f>
        <v>0.18489341983317889</v>
      </c>
    </row>
    <row r="64" spans="1:4" x14ac:dyDescent="0.25">
      <c r="A64" s="16" t="s">
        <v>85</v>
      </c>
      <c r="B64" s="17">
        <v>0.313</v>
      </c>
      <c r="C64" s="14">
        <v>5.7000000000000002E-2</v>
      </c>
      <c r="D64" s="15">
        <f>C64/B64</f>
        <v>0.18210862619808307</v>
      </c>
    </row>
    <row r="65" spans="1:4" x14ac:dyDescent="0.25">
      <c r="A65" s="16" t="s">
        <v>20</v>
      </c>
      <c r="B65" s="17">
        <v>1.7430000000000001</v>
      </c>
      <c r="C65" s="14">
        <v>0.317</v>
      </c>
      <c r="D65" s="15">
        <f>C65/B65</f>
        <v>0.1818703384968445</v>
      </c>
    </row>
    <row r="66" spans="1:4" x14ac:dyDescent="0.25">
      <c r="A66" s="16" t="s">
        <v>105</v>
      </c>
      <c r="B66" s="17">
        <v>1.228</v>
      </c>
      <c r="C66" s="14">
        <v>0.222</v>
      </c>
      <c r="D66" s="15">
        <f>C66/B66</f>
        <v>0.18078175895765472</v>
      </c>
    </row>
    <row r="67" spans="1:4" x14ac:dyDescent="0.25">
      <c r="A67" s="16" t="s">
        <v>59</v>
      </c>
      <c r="B67" s="17">
        <v>1.3480000000000001</v>
      </c>
      <c r="C67" s="14">
        <v>0.222</v>
      </c>
      <c r="D67" s="15">
        <f>C67/B67</f>
        <v>0.16468842729970326</v>
      </c>
    </row>
    <row r="68" spans="1:4" x14ac:dyDescent="0.25">
      <c r="A68" s="16" t="s">
        <v>17</v>
      </c>
      <c r="B68" s="17">
        <v>1.875</v>
      </c>
      <c r="C68" s="14">
        <v>0.30299999999999999</v>
      </c>
      <c r="D68" s="15">
        <f>C68/B68</f>
        <v>0.16159999999999999</v>
      </c>
    </row>
    <row r="69" spans="1:4" x14ac:dyDescent="0.25">
      <c r="A69" s="16" t="s">
        <v>103</v>
      </c>
      <c r="B69" s="17">
        <v>0.434</v>
      </c>
      <c r="C69" s="14">
        <v>6.6000000000000003E-2</v>
      </c>
      <c r="D69" s="15">
        <f>C69/B69</f>
        <v>0.15207373271889402</v>
      </c>
    </row>
    <row r="70" spans="1:4" x14ac:dyDescent="0.25">
      <c r="A70" s="16" t="s">
        <v>92</v>
      </c>
      <c r="B70" s="17">
        <v>0.69199999999999995</v>
      </c>
      <c r="C70" s="14">
        <v>0.10299999999999999</v>
      </c>
      <c r="D70" s="15">
        <f>C70/B70</f>
        <v>0.14884393063583815</v>
      </c>
    </row>
    <row r="71" spans="1:4" x14ac:dyDescent="0.25">
      <c r="A71" s="16" t="s">
        <v>74</v>
      </c>
      <c r="B71" s="17">
        <v>1.1479999999999999</v>
      </c>
      <c r="C71" s="14">
        <v>0.16400000000000001</v>
      </c>
      <c r="D71" s="15">
        <f>C71/B71</f>
        <v>0.14285714285714288</v>
      </c>
    </row>
    <row r="72" spans="1:4" x14ac:dyDescent="0.25">
      <c r="A72" s="16" t="s">
        <v>67</v>
      </c>
      <c r="B72" s="17">
        <v>0.34899999999999998</v>
      </c>
      <c r="C72" s="14">
        <v>4.9000000000000002E-2</v>
      </c>
      <c r="D72" s="15">
        <f>C72/B72</f>
        <v>0.14040114613180518</v>
      </c>
    </row>
    <row r="73" spans="1:4" x14ac:dyDescent="0.25">
      <c r="A73" s="16" t="s">
        <v>68</v>
      </c>
      <c r="B73" s="17">
        <v>1.0009999999999999</v>
      </c>
      <c r="C73" s="14">
        <v>0.13900000000000001</v>
      </c>
      <c r="D73" s="15">
        <f>C73/B73</f>
        <v>0.13886113886113888</v>
      </c>
    </row>
    <row r="74" spans="1:4" x14ac:dyDescent="0.25">
      <c r="A74" s="16" t="s">
        <v>43</v>
      </c>
      <c r="B74" s="17">
        <v>0.85499999999999998</v>
      </c>
      <c r="C74" s="14">
        <v>0.112</v>
      </c>
      <c r="D74" s="15">
        <f>C74/B74</f>
        <v>0.13099415204678364</v>
      </c>
    </row>
    <row r="75" spans="1:4" x14ac:dyDescent="0.25">
      <c r="A75" s="16" t="s">
        <v>83</v>
      </c>
      <c r="B75" s="17">
        <v>0.25700000000000001</v>
      </c>
      <c r="C75" s="14">
        <v>3.3000000000000002E-2</v>
      </c>
      <c r="D75" s="15">
        <f>C75/B75</f>
        <v>0.1284046692607004</v>
      </c>
    </row>
    <row r="76" spans="1:4" x14ac:dyDescent="0.25">
      <c r="A76" s="16" t="s">
        <v>47</v>
      </c>
      <c r="B76" s="17">
        <v>2.2269999999999999</v>
      </c>
      <c r="C76" s="14">
        <v>0.27200000000000002</v>
      </c>
      <c r="D76" s="15">
        <f>C76/B76</f>
        <v>0.12213740458015268</v>
      </c>
    </row>
    <row r="77" spans="1:4" x14ac:dyDescent="0.25">
      <c r="A77" s="16" t="s">
        <v>71</v>
      </c>
      <c r="B77" s="17">
        <v>0.92500000000000004</v>
      </c>
      <c r="C77" s="14">
        <v>0.107</v>
      </c>
      <c r="D77" s="15">
        <f>C77/B77</f>
        <v>0.11567567567567567</v>
      </c>
    </row>
    <row r="78" spans="1:4" x14ac:dyDescent="0.25">
      <c r="A78" s="16" t="s">
        <v>8</v>
      </c>
      <c r="B78" s="17">
        <v>4.83</v>
      </c>
      <c r="C78" s="14">
        <v>0.55200000000000005</v>
      </c>
      <c r="D78" s="15">
        <f>C78/B78</f>
        <v>0.1142857142857143</v>
      </c>
    </row>
    <row r="79" spans="1:4" x14ac:dyDescent="0.25">
      <c r="A79" s="16" t="s">
        <v>111</v>
      </c>
      <c r="B79" s="17">
        <v>0.14399999999999999</v>
      </c>
      <c r="C79" s="14">
        <v>1.6E-2</v>
      </c>
      <c r="D79" s="15">
        <f>C79/B79</f>
        <v>0.11111111111111112</v>
      </c>
    </row>
    <row r="80" spans="1:4" x14ac:dyDescent="0.25">
      <c r="A80" s="16" t="s">
        <v>90</v>
      </c>
      <c r="B80" s="17">
        <v>0.66600000000000004</v>
      </c>
      <c r="C80" s="14">
        <v>7.3999999999999996E-2</v>
      </c>
      <c r="D80" s="15">
        <f>C80/B80</f>
        <v>0.1111111111111111</v>
      </c>
    </row>
    <row r="81" spans="1:4" x14ac:dyDescent="0.25">
      <c r="A81" s="16" t="s">
        <v>73</v>
      </c>
      <c r="B81" s="17">
        <v>0.41599999999999998</v>
      </c>
      <c r="C81" s="14">
        <v>4.5999999999999999E-2</v>
      </c>
      <c r="D81" s="15">
        <f>C81/B81</f>
        <v>0.11057692307692309</v>
      </c>
    </row>
    <row r="82" spans="1:4" x14ac:dyDescent="0.25">
      <c r="A82" s="16" t="s">
        <v>52</v>
      </c>
      <c r="B82" s="17">
        <v>1.071</v>
      </c>
      <c r="C82" s="14">
        <v>0.112</v>
      </c>
      <c r="D82" s="15">
        <f>C82/B82</f>
        <v>0.10457516339869281</v>
      </c>
    </row>
    <row r="83" spans="1:4" x14ac:dyDescent="0.25">
      <c r="A83" s="16" t="s">
        <v>75</v>
      </c>
      <c r="B83" s="17">
        <v>1.18</v>
      </c>
      <c r="C83" s="14">
        <v>0.12</v>
      </c>
      <c r="D83" s="15">
        <f>C83/B83</f>
        <v>0.10169491525423729</v>
      </c>
    </row>
    <row r="84" spans="1:4" x14ac:dyDescent="0.25">
      <c r="A84" s="16" t="s">
        <v>30</v>
      </c>
      <c r="B84" s="17">
        <v>0.42899999999999999</v>
      </c>
      <c r="C84" s="14">
        <v>4.1000000000000002E-2</v>
      </c>
      <c r="D84" s="15">
        <f>C84/B84</f>
        <v>9.5571095571095582E-2</v>
      </c>
    </row>
    <row r="85" spans="1:4" x14ac:dyDescent="0.25">
      <c r="A85" s="16" t="s">
        <v>91</v>
      </c>
      <c r="B85" s="17">
        <v>0.35</v>
      </c>
      <c r="C85" s="14">
        <v>3.3000000000000002E-2</v>
      </c>
      <c r="D85" s="15">
        <f>C85/B85</f>
        <v>9.4285714285714292E-2</v>
      </c>
    </row>
    <row r="86" spans="1:4" x14ac:dyDescent="0.25">
      <c r="A86" s="16" t="s">
        <v>34</v>
      </c>
      <c r="B86" s="17">
        <v>2.5030000000000001</v>
      </c>
      <c r="C86" s="14">
        <v>0.23100000000000001</v>
      </c>
      <c r="D86" s="15">
        <f>C86/B86</f>
        <v>9.2289252896524177E-2</v>
      </c>
    </row>
    <row r="87" spans="1:4" x14ac:dyDescent="0.25">
      <c r="A87" s="16" t="s">
        <v>46</v>
      </c>
      <c r="B87" s="17">
        <v>0.71399999999999997</v>
      </c>
      <c r="C87" s="14">
        <v>6.2E-2</v>
      </c>
      <c r="D87" s="15">
        <f>C87/B87</f>
        <v>8.683473389355742E-2</v>
      </c>
    </row>
    <row r="88" spans="1:4" x14ac:dyDescent="0.25">
      <c r="A88" s="16" t="s">
        <v>57</v>
      </c>
      <c r="B88" s="17">
        <v>1.3140000000000001</v>
      </c>
      <c r="C88" s="14">
        <v>9.9000000000000005E-2</v>
      </c>
      <c r="D88" s="15">
        <f>C88/B88</f>
        <v>7.5342465753424653E-2</v>
      </c>
    </row>
    <row r="89" spans="1:4" x14ac:dyDescent="0.25">
      <c r="A89" s="16" t="s">
        <v>130</v>
      </c>
      <c r="B89" s="17">
        <v>0.61599999999999999</v>
      </c>
      <c r="C89" s="14">
        <v>4.5999999999999999E-2</v>
      </c>
      <c r="D89" s="15">
        <f>C89/B89</f>
        <v>7.4675324675324672E-2</v>
      </c>
    </row>
    <row r="90" spans="1:4" x14ac:dyDescent="0.25">
      <c r="A90" s="16" t="s">
        <v>18</v>
      </c>
      <c r="B90" s="17">
        <v>3.2719999999999998</v>
      </c>
      <c r="C90" s="14">
        <v>0.22700000000000001</v>
      </c>
      <c r="D90" s="15">
        <f>C90/B90</f>
        <v>6.9376528117359421E-2</v>
      </c>
    </row>
    <row r="91" spans="1:4" x14ac:dyDescent="0.25">
      <c r="A91" s="16" t="s">
        <v>63</v>
      </c>
      <c r="B91" s="17">
        <v>0.93400000000000005</v>
      </c>
      <c r="C91" s="14">
        <v>6.2E-2</v>
      </c>
      <c r="D91" s="15">
        <f>C91/B91</f>
        <v>6.638115631691649E-2</v>
      </c>
    </row>
    <row r="92" spans="1:4" x14ac:dyDescent="0.25">
      <c r="A92" s="16" t="s">
        <v>19</v>
      </c>
      <c r="B92" s="17">
        <v>3.1030000000000002</v>
      </c>
      <c r="C92" s="14">
        <v>0.20499999999999999</v>
      </c>
      <c r="D92" s="15">
        <f>C92/B92</f>
        <v>6.6065098291975502E-2</v>
      </c>
    </row>
    <row r="93" spans="1:4" x14ac:dyDescent="0.25">
      <c r="A93" s="16" t="s">
        <v>60</v>
      </c>
      <c r="B93" s="17">
        <v>0.84</v>
      </c>
      <c r="C93" s="14">
        <v>4.9000000000000002E-2</v>
      </c>
      <c r="D93" s="15">
        <f>C93/B93</f>
        <v>5.8333333333333341E-2</v>
      </c>
    </row>
    <row r="94" spans="1:4" x14ac:dyDescent="0.25">
      <c r="A94" s="16" t="s">
        <v>82</v>
      </c>
      <c r="B94" s="17">
        <v>1.694</v>
      </c>
      <c r="C94" s="14">
        <v>9.5000000000000001E-2</v>
      </c>
      <c r="D94" s="15">
        <f>C94/B94</f>
        <v>5.6080283353010629E-2</v>
      </c>
    </row>
    <row r="95" spans="1:4" x14ac:dyDescent="0.25">
      <c r="A95" s="16" t="s">
        <v>129</v>
      </c>
      <c r="B95" s="17">
        <v>0.28599999999999998</v>
      </c>
      <c r="C95" s="14">
        <v>1.6E-2</v>
      </c>
      <c r="D95" s="15">
        <f>C95/B95</f>
        <v>5.5944055944055951E-2</v>
      </c>
    </row>
    <row r="96" spans="1:4" x14ac:dyDescent="0.25">
      <c r="A96" s="16" t="s">
        <v>7</v>
      </c>
      <c r="B96" s="17">
        <v>0.88500000000000001</v>
      </c>
      <c r="C96" s="14">
        <v>4.9000000000000002E-2</v>
      </c>
      <c r="D96" s="15">
        <f>C96/B96</f>
        <v>5.5367231638418078E-2</v>
      </c>
    </row>
    <row r="97" spans="1:4" x14ac:dyDescent="0.25">
      <c r="A97" s="16" t="s">
        <v>53</v>
      </c>
      <c r="B97" s="17">
        <v>1.895</v>
      </c>
      <c r="C97" s="14">
        <v>6.2E-2</v>
      </c>
      <c r="D97" s="15">
        <f>C97/B97</f>
        <v>3.2717678100263853E-2</v>
      </c>
    </row>
    <row r="98" spans="1:4" x14ac:dyDescent="0.25">
      <c r="A98" s="16" t="s">
        <v>11</v>
      </c>
      <c r="B98" s="17">
        <v>1.4930000000000001</v>
      </c>
      <c r="C98" s="14">
        <v>2.9000000000000001E-2</v>
      </c>
      <c r="D98" s="15">
        <f>C98/B98</f>
        <v>1.9423978566644341E-2</v>
      </c>
    </row>
    <row r="99" spans="1:4" x14ac:dyDescent="0.25">
      <c r="A99" s="16" t="s">
        <v>132</v>
      </c>
      <c r="B99" s="17">
        <v>0.53200000000000003</v>
      </c>
      <c r="C99" s="14">
        <v>0</v>
      </c>
      <c r="D99" s="15">
        <f>C99/B99</f>
        <v>0</v>
      </c>
    </row>
    <row r="100" spans="1:4" x14ac:dyDescent="0.25">
      <c r="A100" s="16" t="s">
        <v>97</v>
      </c>
      <c r="B100" s="17">
        <v>0.33300000000000002</v>
      </c>
      <c r="C100" s="14">
        <v>0</v>
      </c>
      <c r="D100" s="15">
        <f>C100/B100</f>
        <v>0</v>
      </c>
    </row>
    <row r="101" spans="1:4" x14ac:dyDescent="0.25">
      <c r="A101" s="16" t="s">
        <v>80</v>
      </c>
      <c r="B101" s="17">
        <v>0.31</v>
      </c>
      <c r="C101" s="14">
        <v>0</v>
      </c>
      <c r="D101" s="15">
        <f>C101/B101</f>
        <v>0</v>
      </c>
    </row>
    <row r="102" spans="1:4" x14ac:dyDescent="0.25">
      <c r="A102" s="16" t="s">
        <v>78</v>
      </c>
      <c r="B102" s="17">
        <v>0.17699999999999999</v>
      </c>
      <c r="C102" s="14">
        <v>0</v>
      </c>
      <c r="D102" s="15">
        <f>C102/B102</f>
        <v>0</v>
      </c>
    </row>
    <row r="103" spans="1:4" x14ac:dyDescent="0.25">
      <c r="A103" s="16" t="s">
        <v>104</v>
      </c>
      <c r="B103" s="17">
        <v>0.158</v>
      </c>
      <c r="C103" s="14">
        <v>0</v>
      </c>
      <c r="D103" s="15">
        <f>C103/B103</f>
        <v>0</v>
      </c>
    </row>
    <row r="104" spans="1:4" x14ac:dyDescent="0.25">
      <c r="A104" s="16" t="s">
        <v>131</v>
      </c>
      <c r="B104" s="17">
        <v>0.14799999999999999</v>
      </c>
      <c r="C104" s="14">
        <v>0</v>
      </c>
      <c r="D104" s="15">
        <f>C104/B104</f>
        <v>0</v>
      </c>
    </row>
    <row r="105" spans="1:4" x14ac:dyDescent="0.25">
      <c r="A105" s="16" t="s">
        <v>152</v>
      </c>
      <c r="B105" s="17">
        <v>0.14399999999999999</v>
      </c>
      <c r="C105" s="14">
        <v>0</v>
      </c>
      <c r="D105" s="15">
        <f>C105/B105</f>
        <v>0</v>
      </c>
    </row>
    <row r="106" spans="1:4" x14ac:dyDescent="0.25">
      <c r="A106" s="16" t="s">
        <v>139</v>
      </c>
      <c r="B106" s="17">
        <v>0.12</v>
      </c>
      <c r="C106" s="14">
        <v>0</v>
      </c>
      <c r="D106" s="15">
        <f>C106/B106</f>
        <v>0</v>
      </c>
    </row>
    <row r="107" spans="1:4" x14ac:dyDescent="0.25">
      <c r="A107" s="16" t="s">
        <v>118</v>
      </c>
      <c r="B107" s="17">
        <v>0.115</v>
      </c>
      <c r="C107" s="14">
        <v>0</v>
      </c>
      <c r="D107" s="15">
        <f>C107/B107</f>
        <v>0</v>
      </c>
    </row>
    <row r="108" spans="1:4" x14ac:dyDescent="0.25">
      <c r="A108" s="16" t="s">
        <v>151</v>
      </c>
      <c r="B108" s="17">
        <v>0.107</v>
      </c>
      <c r="C108" s="14">
        <v>0</v>
      </c>
      <c r="D108" s="15">
        <f>C108/B108</f>
        <v>0</v>
      </c>
    </row>
    <row r="109" spans="1:4" x14ac:dyDescent="0.25">
      <c r="A109" s="16" t="s">
        <v>125</v>
      </c>
      <c r="B109" s="17">
        <v>0.09</v>
      </c>
      <c r="C109" s="14">
        <v>0</v>
      </c>
      <c r="D109" s="15">
        <f>C109/B109</f>
        <v>0</v>
      </c>
    </row>
    <row r="110" spans="1:4" x14ac:dyDescent="0.25">
      <c r="A110" s="16" t="s">
        <v>134</v>
      </c>
      <c r="B110" s="17">
        <v>3.7999999999999999E-2</v>
      </c>
      <c r="C110" s="14">
        <v>0</v>
      </c>
      <c r="D110" s="15">
        <f>C110/B110</f>
        <v>0</v>
      </c>
    </row>
    <row r="111" spans="1:4" x14ac:dyDescent="0.25">
      <c r="A111" s="16" t="s">
        <v>144</v>
      </c>
      <c r="B111" s="17">
        <v>2.9000000000000001E-2</v>
      </c>
      <c r="C111" s="14">
        <v>0</v>
      </c>
      <c r="D111" s="15">
        <f>C111/B111</f>
        <v>0</v>
      </c>
    </row>
    <row r="112" spans="1:4" x14ac:dyDescent="0.25">
      <c r="A112" s="16" t="s">
        <v>153</v>
      </c>
      <c r="B112" s="17">
        <v>1.6E-2</v>
      </c>
      <c r="C112" s="14">
        <v>0</v>
      </c>
      <c r="D112" s="15">
        <f>C112/B112</f>
        <v>0</v>
      </c>
    </row>
    <row r="113" spans="1:4" x14ac:dyDescent="0.25">
      <c r="A113" s="16" t="s">
        <v>142</v>
      </c>
      <c r="B113" s="17">
        <v>1.6E-2</v>
      </c>
      <c r="C113" s="14">
        <v>0</v>
      </c>
      <c r="D113" s="15">
        <f>C113/B113</f>
        <v>0</v>
      </c>
    </row>
    <row r="114" spans="1:4" x14ac:dyDescent="0.25">
      <c r="A114" s="16" t="s">
        <v>150</v>
      </c>
      <c r="B114" s="17">
        <v>1.6E-2</v>
      </c>
      <c r="C114" s="14">
        <v>0</v>
      </c>
      <c r="D114" s="15">
        <f>C114/B114</f>
        <v>0</v>
      </c>
    </row>
  </sheetData>
  <autoFilter ref="A2:D2" xr:uid="{4B778B37-0B42-4F1D-BB98-08DFD0970BCA}">
    <sortState xmlns:xlrd2="http://schemas.microsoft.com/office/spreadsheetml/2017/richdata2" ref="A3:D114">
      <sortCondition descending="1" ref="D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3D732-7D28-4C8F-87F7-63EE72F44922}">
  <dimension ref="A1:D105"/>
  <sheetViews>
    <sheetView workbookViewId="0"/>
  </sheetViews>
  <sheetFormatPr defaultRowHeight="15" x14ac:dyDescent="0.25"/>
  <cols>
    <col min="1" max="1" width="25.7109375" style="3" customWidth="1"/>
    <col min="2" max="3" width="10.7109375" style="7" customWidth="1"/>
    <col min="4" max="4" width="10.7109375" style="3" customWidth="1"/>
    <col min="5" max="16384" width="9.140625" style="3"/>
  </cols>
  <sheetData>
    <row r="1" spans="1:4" ht="21" x14ac:dyDescent="0.35">
      <c r="A1" s="23" t="s">
        <v>263</v>
      </c>
    </row>
    <row r="2" spans="1:4" x14ac:dyDescent="0.25">
      <c r="A2" s="5" t="s">
        <v>0</v>
      </c>
      <c r="B2" s="6" t="s">
        <v>1</v>
      </c>
      <c r="C2" s="6" t="s">
        <v>2</v>
      </c>
      <c r="D2" s="5" t="s">
        <v>3</v>
      </c>
    </row>
    <row r="3" spans="1:4" x14ac:dyDescent="0.25">
      <c r="A3" s="16" t="s">
        <v>100</v>
      </c>
      <c r="B3" s="17">
        <v>3.3000000000000002E-2</v>
      </c>
      <c r="C3" s="14">
        <v>6.6000000000000003E-2</v>
      </c>
      <c r="D3" s="15">
        <f>C3/B3</f>
        <v>2</v>
      </c>
    </row>
    <row r="4" spans="1:4" x14ac:dyDescent="0.25">
      <c r="A4" s="16" t="s">
        <v>149</v>
      </c>
      <c r="B4" s="17">
        <v>0.17799999999999999</v>
      </c>
      <c r="C4" s="14">
        <v>0.17799999999999999</v>
      </c>
      <c r="D4" s="15">
        <f>C4/B4</f>
        <v>1</v>
      </c>
    </row>
    <row r="5" spans="1:4" x14ac:dyDescent="0.25">
      <c r="A5" s="16" t="s">
        <v>98</v>
      </c>
      <c r="B5" s="17">
        <v>6.4000000000000001E-2</v>
      </c>
      <c r="C5" s="14">
        <v>6.4000000000000001E-2</v>
      </c>
      <c r="D5" s="15">
        <f>C5/B5</f>
        <v>1</v>
      </c>
    </row>
    <row r="6" spans="1:4" x14ac:dyDescent="0.25">
      <c r="A6" s="16" t="s">
        <v>151</v>
      </c>
      <c r="B6" s="17">
        <v>3.7999999999999999E-2</v>
      </c>
      <c r="C6" s="14">
        <v>3.7999999999999999E-2</v>
      </c>
      <c r="D6" s="15">
        <f>C6/B6</f>
        <v>1</v>
      </c>
    </row>
    <row r="7" spans="1:4" x14ac:dyDescent="0.25">
      <c r="A7" s="16" t="s">
        <v>114</v>
      </c>
      <c r="B7" s="17">
        <v>8.8999999999999996E-2</v>
      </c>
      <c r="C7" s="14">
        <v>7.0000000000000007E-2</v>
      </c>
      <c r="D7" s="15">
        <f>C7/B7</f>
        <v>0.78651685393258441</v>
      </c>
    </row>
    <row r="8" spans="1:4" x14ac:dyDescent="0.25">
      <c r="A8" s="16" t="s">
        <v>67</v>
      </c>
      <c r="B8" s="17">
        <v>5.8000000000000003E-2</v>
      </c>
      <c r="C8" s="14">
        <v>3.7999999999999999E-2</v>
      </c>
      <c r="D8" s="15">
        <f>C8/B8</f>
        <v>0.65517241379310343</v>
      </c>
    </row>
    <row r="9" spans="1:4" x14ac:dyDescent="0.25">
      <c r="A9" s="16" t="s">
        <v>4</v>
      </c>
      <c r="B9" s="17">
        <v>0.746</v>
      </c>
      <c r="C9" s="14">
        <v>0.46400000000000002</v>
      </c>
      <c r="D9" s="15">
        <f>C9/B9</f>
        <v>0.62198391420911536</v>
      </c>
    </row>
    <row r="10" spans="1:4" x14ac:dyDescent="0.25">
      <c r="A10" s="16" t="s">
        <v>132</v>
      </c>
      <c r="B10" s="17">
        <v>0.32900000000000001</v>
      </c>
      <c r="C10" s="14">
        <v>0.20200000000000001</v>
      </c>
      <c r="D10" s="15">
        <f>C10/B10</f>
        <v>0.61398176291793316</v>
      </c>
    </row>
    <row r="11" spans="1:4" x14ac:dyDescent="0.25">
      <c r="A11" s="16" t="s">
        <v>21</v>
      </c>
      <c r="B11" s="17">
        <v>0.20699999999999999</v>
      </c>
      <c r="C11" s="14">
        <v>0.115</v>
      </c>
      <c r="D11" s="15">
        <f>C11/B11</f>
        <v>0.55555555555555558</v>
      </c>
    </row>
    <row r="12" spans="1:4" x14ac:dyDescent="0.25">
      <c r="A12" s="16" t="s">
        <v>109</v>
      </c>
      <c r="B12" s="17">
        <v>7.0000000000000007E-2</v>
      </c>
      <c r="C12" s="14">
        <v>3.7999999999999999E-2</v>
      </c>
      <c r="D12" s="15">
        <f>C12/B12</f>
        <v>0.54285714285714282</v>
      </c>
    </row>
    <row r="13" spans="1:4" x14ac:dyDescent="0.25">
      <c r="A13" s="16" t="s">
        <v>39</v>
      </c>
      <c r="B13" s="17">
        <v>0.53300000000000003</v>
      </c>
      <c r="C13" s="14">
        <v>0.28899999999999998</v>
      </c>
      <c r="D13" s="15">
        <f>C13/B13</f>
        <v>0.54221388367729828</v>
      </c>
    </row>
    <row r="14" spans="1:4" x14ac:dyDescent="0.25">
      <c r="A14" s="16" t="s">
        <v>55</v>
      </c>
      <c r="B14" s="17">
        <v>0.45</v>
      </c>
      <c r="C14" s="14">
        <v>0.23599999999999999</v>
      </c>
      <c r="D14" s="15">
        <f>C14/B14</f>
        <v>0.52444444444444438</v>
      </c>
    </row>
    <row r="15" spans="1:4" x14ac:dyDescent="0.25">
      <c r="A15" s="16" t="s">
        <v>7</v>
      </c>
      <c r="B15" s="17">
        <v>0.28799999999999998</v>
      </c>
      <c r="C15" s="14">
        <v>0.14199999999999999</v>
      </c>
      <c r="D15" s="15">
        <f>C15/B15</f>
        <v>0.49305555555555552</v>
      </c>
    </row>
    <row r="16" spans="1:4" x14ac:dyDescent="0.25">
      <c r="A16" s="16" t="s">
        <v>76</v>
      </c>
      <c r="B16" s="17">
        <v>0.38900000000000001</v>
      </c>
      <c r="C16" s="14">
        <v>0.187</v>
      </c>
      <c r="D16" s="15">
        <f>C16/B16</f>
        <v>0.48071979434447298</v>
      </c>
    </row>
    <row r="17" spans="1:4" x14ac:dyDescent="0.25">
      <c r="A17" s="16" t="s">
        <v>71</v>
      </c>
      <c r="B17" s="17">
        <v>0.61199999999999999</v>
      </c>
      <c r="C17" s="14">
        <v>0.28100000000000003</v>
      </c>
      <c r="D17" s="15">
        <f>C17/B17</f>
        <v>0.45915032679738566</v>
      </c>
    </row>
    <row r="18" spans="1:4" x14ac:dyDescent="0.25">
      <c r="A18" s="16" t="s">
        <v>146</v>
      </c>
      <c r="B18" s="17">
        <v>8.3000000000000004E-2</v>
      </c>
      <c r="C18" s="14">
        <v>3.7999999999999999E-2</v>
      </c>
      <c r="D18" s="15">
        <f>C18/B18</f>
        <v>0.45783132530120479</v>
      </c>
    </row>
    <row r="19" spans="1:4" x14ac:dyDescent="0.25">
      <c r="A19" s="16" t="s">
        <v>28</v>
      </c>
      <c r="B19" s="17">
        <v>0.86899999999999999</v>
      </c>
      <c r="C19" s="14">
        <v>0.39600000000000002</v>
      </c>
      <c r="D19" s="15">
        <f>C19/B19</f>
        <v>0.45569620253164561</v>
      </c>
    </row>
    <row r="20" spans="1:4" x14ac:dyDescent="0.25">
      <c r="A20" s="16" t="s">
        <v>13</v>
      </c>
      <c r="B20" s="17">
        <v>0.98899999999999999</v>
      </c>
      <c r="C20" s="14">
        <v>0.44400000000000001</v>
      </c>
      <c r="D20" s="15">
        <f>C20/B20</f>
        <v>0.44893832153690599</v>
      </c>
    </row>
    <row r="21" spans="1:4" x14ac:dyDescent="0.25">
      <c r="A21" s="16" t="s">
        <v>95</v>
      </c>
      <c r="B21" s="17">
        <v>0.38600000000000001</v>
      </c>
      <c r="C21" s="14">
        <v>0.16500000000000001</v>
      </c>
      <c r="D21" s="15">
        <f>C21/B21</f>
        <v>0.42746113989637308</v>
      </c>
    </row>
    <row r="22" spans="1:4" x14ac:dyDescent="0.25">
      <c r="A22" s="16" t="s">
        <v>46</v>
      </c>
      <c r="B22" s="17">
        <v>0.28199999999999997</v>
      </c>
      <c r="C22" s="14">
        <v>0.11700000000000001</v>
      </c>
      <c r="D22" s="15">
        <f>C22/B22</f>
        <v>0.41489361702127664</v>
      </c>
    </row>
    <row r="23" spans="1:4" x14ac:dyDescent="0.25">
      <c r="A23" s="16" t="s">
        <v>9</v>
      </c>
      <c r="B23" s="17">
        <v>0.78800000000000003</v>
      </c>
      <c r="C23" s="14">
        <v>0.314</v>
      </c>
      <c r="D23" s="15">
        <f>C23/B23</f>
        <v>0.39847715736040606</v>
      </c>
    </row>
    <row r="24" spans="1:4" x14ac:dyDescent="0.25">
      <c r="A24" s="16" t="s">
        <v>5</v>
      </c>
      <c r="B24" s="17">
        <v>1.2330000000000001</v>
      </c>
      <c r="C24" s="14">
        <v>0.48499999999999999</v>
      </c>
      <c r="D24" s="15">
        <f>C24/B24</f>
        <v>0.39334955393349552</v>
      </c>
    </row>
    <row r="25" spans="1:4" x14ac:dyDescent="0.25">
      <c r="A25" s="16" t="s">
        <v>61</v>
      </c>
      <c r="B25" s="17">
        <v>1.583</v>
      </c>
      <c r="C25" s="14">
        <v>0.60799999999999998</v>
      </c>
      <c r="D25" s="15">
        <f>C25/B25</f>
        <v>0.38408085912823753</v>
      </c>
    </row>
    <row r="26" spans="1:4" x14ac:dyDescent="0.25">
      <c r="A26" s="16" t="s">
        <v>14</v>
      </c>
      <c r="B26" s="17">
        <v>1.5229999999999999</v>
      </c>
      <c r="C26" s="14">
        <v>0.55900000000000005</v>
      </c>
      <c r="D26" s="15">
        <f>C26/B26</f>
        <v>0.36703873933026926</v>
      </c>
    </row>
    <row r="27" spans="1:4" x14ac:dyDescent="0.25">
      <c r="A27" s="16" t="s">
        <v>121</v>
      </c>
      <c r="B27" s="17">
        <v>0.104</v>
      </c>
      <c r="C27" s="14">
        <v>3.7999999999999999E-2</v>
      </c>
      <c r="D27" s="15">
        <f>C27/B27</f>
        <v>0.36538461538461542</v>
      </c>
    </row>
    <row r="28" spans="1:4" x14ac:dyDescent="0.25">
      <c r="A28" s="16" t="s">
        <v>108</v>
      </c>
      <c r="B28" s="17">
        <v>0.35099999999999998</v>
      </c>
      <c r="C28" s="14">
        <v>0.124</v>
      </c>
      <c r="D28" s="15">
        <f>C28/B28</f>
        <v>0.35327635327635332</v>
      </c>
    </row>
    <row r="29" spans="1:4" x14ac:dyDescent="0.25">
      <c r="A29" s="16" t="s">
        <v>41</v>
      </c>
      <c r="B29" s="17">
        <v>0.71</v>
      </c>
      <c r="C29" s="14">
        <v>0.24</v>
      </c>
      <c r="D29" s="15">
        <f>C29/B29</f>
        <v>0.3380281690140845</v>
      </c>
    </row>
    <row r="30" spans="1:4" x14ac:dyDescent="0.25">
      <c r="A30" s="16" t="s">
        <v>82</v>
      </c>
      <c r="B30" s="17">
        <v>0.75600000000000001</v>
      </c>
      <c r="C30" s="14">
        <v>0.24399999999999999</v>
      </c>
      <c r="D30" s="15">
        <f>C30/B30</f>
        <v>0.32275132275132273</v>
      </c>
    </row>
    <row r="31" spans="1:4" x14ac:dyDescent="0.25">
      <c r="A31" s="16" t="s">
        <v>36</v>
      </c>
      <c r="B31" s="17">
        <v>0.52800000000000002</v>
      </c>
      <c r="C31" s="14">
        <v>0.17</v>
      </c>
      <c r="D31" s="15">
        <f>C31/B31</f>
        <v>0.32196969696969696</v>
      </c>
    </row>
    <row r="32" spans="1:4" x14ac:dyDescent="0.25">
      <c r="A32" s="16" t="s">
        <v>38</v>
      </c>
      <c r="B32" s="17">
        <v>0.72</v>
      </c>
      <c r="C32" s="14">
        <v>0.22500000000000001</v>
      </c>
      <c r="D32" s="15">
        <f>C32/B32</f>
        <v>0.3125</v>
      </c>
    </row>
    <row r="33" spans="1:4" x14ac:dyDescent="0.25">
      <c r="A33" s="16" t="s">
        <v>65</v>
      </c>
      <c r="B33" s="17">
        <v>0.214</v>
      </c>
      <c r="C33" s="14">
        <v>6.6000000000000003E-2</v>
      </c>
      <c r="D33" s="15">
        <f>C33/B33</f>
        <v>0.30841121495327106</v>
      </c>
    </row>
    <row r="34" spans="1:4" x14ac:dyDescent="0.25">
      <c r="A34" s="16" t="s">
        <v>66</v>
      </c>
      <c r="B34" s="17">
        <v>0.125</v>
      </c>
      <c r="C34" s="14">
        <v>3.7999999999999999E-2</v>
      </c>
      <c r="D34" s="15">
        <f>C34/B34</f>
        <v>0.30399999999999999</v>
      </c>
    </row>
    <row r="35" spans="1:4" x14ac:dyDescent="0.25">
      <c r="A35" s="16" t="s">
        <v>127</v>
      </c>
      <c r="B35" s="17">
        <v>0.126</v>
      </c>
      <c r="C35" s="14">
        <v>3.7999999999999999E-2</v>
      </c>
      <c r="D35" s="15">
        <f>C35/B35</f>
        <v>0.30158730158730157</v>
      </c>
    </row>
    <row r="36" spans="1:4" x14ac:dyDescent="0.25">
      <c r="A36" s="16" t="s">
        <v>96</v>
      </c>
      <c r="B36" s="17">
        <v>0.54200000000000004</v>
      </c>
      <c r="C36" s="14">
        <v>0.155</v>
      </c>
      <c r="D36" s="15">
        <f>C36/B36</f>
        <v>0.28597785977859774</v>
      </c>
    </row>
    <row r="37" spans="1:4" x14ac:dyDescent="0.25">
      <c r="A37" s="16" t="s">
        <v>42</v>
      </c>
      <c r="B37" s="17">
        <v>2.0939999999999999</v>
      </c>
      <c r="C37" s="14">
        <v>0.59299999999999997</v>
      </c>
      <c r="D37" s="15">
        <f>C37/B37</f>
        <v>0.28319006685768866</v>
      </c>
    </row>
    <row r="38" spans="1:4" x14ac:dyDescent="0.25">
      <c r="A38" s="16" t="s">
        <v>68</v>
      </c>
      <c r="B38" s="17">
        <v>0.14000000000000001</v>
      </c>
      <c r="C38" s="14">
        <v>3.7999999999999999E-2</v>
      </c>
      <c r="D38" s="15">
        <f>C38/B38</f>
        <v>0.27142857142857141</v>
      </c>
    </row>
    <row r="39" spans="1:4" x14ac:dyDescent="0.25">
      <c r="A39" s="16" t="s">
        <v>12</v>
      </c>
      <c r="B39" s="17">
        <v>2.016</v>
      </c>
      <c r="C39" s="14">
        <v>0.54500000000000004</v>
      </c>
      <c r="D39" s="15">
        <f>C39/B39</f>
        <v>0.27033730158730163</v>
      </c>
    </row>
    <row r="40" spans="1:4" x14ac:dyDescent="0.25">
      <c r="A40" s="16" t="s">
        <v>64</v>
      </c>
      <c r="B40" s="17">
        <v>0.29699999999999999</v>
      </c>
      <c r="C40" s="14">
        <v>7.9000000000000001E-2</v>
      </c>
      <c r="D40" s="15">
        <f>C40/B40</f>
        <v>0.265993265993266</v>
      </c>
    </row>
    <row r="41" spans="1:4" x14ac:dyDescent="0.25">
      <c r="A41" s="16" t="s">
        <v>63</v>
      </c>
      <c r="B41" s="17">
        <v>0.14699999999999999</v>
      </c>
      <c r="C41" s="14">
        <v>3.7999999999999999E-2</v>
      </c>
      <c r="D41" s="15">
        <f>C41/B41</f>
        <v>0.25850340136054423</v>
      </c>
    </row>
    <row r="42" spans="1:4" x14ac:dyDescent="0.25">
      <c r="A42" s="16" t="s">
        <v>29</v>
      </c>
      <c r="B42" s="17">
        <v>0.58699999999999997</v>
      </c>
      <c r="C42" s="14">
        <v>0.151</v>
      </c>
      <c r="D42" s="15">
        <f>C42/B42</f>
        <v>0.25724020442930157</v>
      </c>
    </row>
    <row r="43" spans="1:4" x14ac:dyDescent="0.25">
      <c r="A43" s="16" t="s">
        <v>33</v>
      </c>
      <c r="B43" s="17">
        <v>1.6890000000000001</v>
      </c>
      <c r="C43" s="14">
        <v>0.42299999999999999</v>
      </c>
      <c r="D43" s="15">
        <f>C43/B43</f>
        <v>0.25044404973357015</v>
      </c>
    </row>
    <row r="44" spans="1:4" x14ac:dyDescent="0.25">
      <c r="A44" s="16" t="s">
        <v>111</v>
      </c>
      <c r="B44" s="17">
        <v>0.26100000000000001</v>
      </c>
      <c r="C44" s="14">
        <v>6.4000000000000001E-2</v>
      </c>
      <c r="D44" s="15">
        <f>C44/B44</f>
        <v>0.24521072796934865</v>
      </c>
    </row>
    <row r="45" spans="1:4" x14ac:dyDescent="0.25">
      <c r="A45" s="16" t="s">
        <v>129</v>
      </c>
      <c r="B45" s="17">
        <v>0.192</v>
      </c>
      <c r="C45" s="14">
        <v>4.7E-2</v>
      </c>
      <c r="D45" s="15">
        <f>C45/B45</f>
        <v>0.24479166666666666</v>
      </c>
    </row>
    <row r="46" spans="1:4" x14ac:dyDescent="0.25">
      <c r="A46" s="16" t="s">
        <v>24</v>
      </c>
      <c r="B46" s="17">
        <v>0.34399999999999997</v>
      </c>
      <c r="C46" s="14">
        <v>7.6999999999999999E-2</v>
      </c>
      <c r="D46" s="15">
        <f>C46/B46</f>
        <v>0.22383720930232559</v>
      </c>
    </row>
    <row r="47" spans="1:4" x14ac:dyDescent="0.25">
      <c r="A47" s="16" t="s">
        <v>6</v>
      </c>
      <c r="B47" s="17">
        <v>1.004</v>
      </c>
      <c r="C47" s="14">
        <v>0.219</v>
      </c>
      <c r="D47" s="15">
        <f>C47/B47</f>
        <v>0.21812749003984064</v>
      </c>
    </row>
    <row r="48" spans="1:4" x14ac:dyDescent="0.25">
      <c r="A48" s="16" t="s">
        <v>8</v>
      </c>
      <c r="B48" s="17">
        <v>1.724</v>
      </c>
      <c r="C48" s="14">
        <v>0.35499999999999998</v>
      </c>
      <c r="D48" s="15">
        <f>C48/B48</f>
        <v>0.20591647331786542</v>
      </c>
    </row>
    <row r="49" spans="1:4" x14ac:dyDescent="0.25">
      <c r="A49" s="16" t="s">
        <v>45</v>
      </c>
      <c r="B49" s="17">
        <v>0.623</v>
      </c>
      <c r="C49" s="14">
        <v>0.125</v>
      </c>
      <c r="D49" s="15">
        <f>C49/B49</f>
        <v>0.20064205457463885</v>
      </c>
    </row>
    <row r="50" spans="1:4" x14ac:dyDescent="0.25">
      <c r="A50" s="16" t="s">
        <v>22</v>
      </c>
      <c r="B50" s="17">
        <v>0.88700000000000001</v>
      </c>
      <c r="C50" s="14">
        <v>0.17599999999999999</v>
      </c>
      <c r="D50" s="15">
        <f>C50/B50</f>
        <v>0.1984216459977452</v>
      </c>
    </row>
    <row r="51" spans="1:4" x14ac:dyDescent="0.25">
      <c r="A51" s="16" t="s">
        <v>59</v>
      </c>
      <c r="B51" s="17">
        <v>0.33500000000000002</v>
      </c>
      <c r="C51" s="14">
        <v>6.6000000000000003E-2</v>
      </c>
      <c r="D51" s="15">
        <f>C51/B51</f>
        <v>0.19701492537313434</v>
      </c>
    </row>
    <row r="52" spans="1:4" x14ac:dyDescent="0.25">
      <c r="A52" s="16" t="s">
        <v>86</v>
      </c>
      <c r="B52" s="17">
        <v>0.16500000000000001</v>
      </c>
      <c r="C52" s="14">
        <v>3.2000000000000001E-2</v>
      </c>
      <c r="D52" s="15">
        <f>C52/B52</f>
        <v>0.19393939393939394</v>
      </c>
    </row>
    <row r="53" spans="1:4" x14ac:dyDescent="0.25">
      <c r="A53" s="16" t="s">
        <v>20</v>
      </c>
      <c r="B53" s="17">
        <v>0.251</v>
      </c>
      <c r="C53" s="14">
        <v>4.7E-2</v>
      </c>
      <c r="D53" s="15">
        <f>C53/B53</f>
        <v>0.18725099601593626</v>
      </c>
    </row>
    <row r="54" spans="1:4" x14ac:dyDescent="0.25">
      <c r="A54" s="16" t="s">
        <v>92</v>
      </c>
      <c r="B54" s="17">
        <v>0.46500000000000002</v>
      </c>
      <c r="C54" s="14">
        <v>8.5000000000000006E-2</v>
      </c>
      <c r="D54" s="15">
        <f>C54/B54</f>
        <v>0.18279569892473119</v>
      </c>
    </row>
    <row r="55" spans="1:4" x14ac:dyDescent="0.25">
      <c r="A55" s="16" t="s">
        <v>130</v>
      </c>
      <c r="B55" s="17">
        <v>0.21199999999999999</v>
      </c>
      <c r="C55" s="14">
        <v>3.7999999999999999E-2</v>
      </c>
      <c r="D55" s="15">
        <f>C55/B55</f>
        <v>0.17924528301886791</v>
      </c>
    </row>
    <row r="56" spans="1:4" x14ac:dyDescent="0.25">
      <c r="A56" s="16" t="s">
        <v>90</v>
      </c>
      <c r="B56" s="17">
        <v>0.52600000000000002</v>
      </c>
      <c r="C56" s="14">
        <v>9.4E-2</v>
      </c>
      <c r="D56" s="15">
        <f>C56/B56</f>
        <v>0.17870722433460076</v>
      </c>
    </row>
    <row r="57" spans="1:4" x14ac:dyDescent="0.25">
      <c r="A57" s="16" t="s">
        <v>105</v>
      </c>
      <c r="B57" s="17">
        <v>0.18</v>
      </c>
      <c r="C57" s="14">
        <v>3.2000000000000001E-2</v>
      </c>
      <c r="D57" s="15">
        <f>C57/B57</f>
        <v>0.17777777777777778</v>
      </c>
    </row>
    <row r="58" spans="1:4" x14ac:dyDescent="0.25">
      <c r="A58" s="16" t="s">
        <v>10</v>
      </c>
      <c r="B58" s="17">
        <v>1.2869999999999999</v>
      </c>
      <c r="C58" s="14">
        <v>0.22700000000000001</v>
      </c>
      <c r="D58" s="15">
        <f>C58/B58</f>
        <v>0.17637917637917638</v>
      </c>
    </row>
    <row r="59" spans="1:4" x14ac:dyDescent="0.25">
      <c r="A59" s="16" t="s">
        <v>32</v>
      </c>
      <c r="B59" s="17">
        <v>0.40300000000000002</v>
      </c>
      <c r="C59" s="14">
        <v>7.0000000000000007E-2</v>
      </c>
      <c r="D59" s="15">
        <f>C59/B59</f>
        <v>0.17369727047146402</v>
      </c>
    </row>
    <row r="60" spans="1:4" x14ac:dyDescent="0.25">
      <c r="A60" s="16" t="s">
        <v>37</v>
      </c>
      <c r="B60" s="17">
        <v>0.219</v>
      </c>
      <c r="C60" s="14">
        <v>3.7999999999999999E-2</v>
      </c>
      <c r="D60" s="15">
        <f>C60/B60</f>
        <v>0.17351598173515981</v>
      </c>
    </row>
    <row r="61" spans="1:4" x14ac:dyDescent="0.25">
      <c r="A61" s="16" t="s">
        <v>17</v>
      </c>
      <c r="B61" s="17">
        <v>1.169</v>
      </c>
      <c r="C61" s="14">
        <v>0.19400000000000001</v>
      </c>
      <c r="D61" s="15">
        <f>C61/B61</f>
        <v>0.16595380667236956</v>
      </c>
    </row>
    <row r="62" spans="1:4" x14ac:dyDescent="0.25">
      <c r="A62" s="16" t="s">
        <v>15</v>
      </c>
      <c r="B62" s="17">
        <v>0.77500000000000002</v>
      </c>
      <c r="C62" s="14">
        <v>0.124</v>
      </c>
      <c r="D62" s="15">
        <f>C62/B62</f>
        <v>0.16</v>
      </c>
    </row>
    <row r="63" spans="1:4" x14ac:dyDescent="0.25">
      <c r="A63" s="16" t="s">
        <v>18</v>
      </c>
      <c r="B63" s="17">
        <v>0.64</v>
      </c>
      <c r="C63" s="14">
        <v>0.10199999999999999</v>
      </c>
      <c r="D63" s="15">
        <f>C63/B63</f>
        <v>0.15937499999999999</v>
      </c>
    </row>
    <row r="64" spans="1:4" x14ac:dyDescent="0.25">
      <c r="A64" s="16" t="s">
        <v>19</v>
      </c>
      <c r="B64" s="17">
        <v>0.52800000000000002</v>
      </c>
      <c r="C64" s="14">
        <v>7.0000000000000007E-2</v>
      </c>
      <c r="D64" s="15">
        <f>C64/B64</f>
        <v>0.13257575757575757</v>
      </c>
    </row>
    <row r="65" spans="1:4" x14ac:dyDescent="0.25">
      <c r="A65" s="16" t="s">
        <v>88</v>
      </c>
      <c r="B65" s="17">
        <v>0.38</v>
      </c>
      <c r="C65" s="14">
        <v>4.7E-2</v>
      </c>
      <c r="D65" s="15">
        <f>C65/B65</f>
        <v>0.12368421052631579</v>
      </c>
    </row>
    <row r="66" spans="1:4" x14ac:dyDescent="0.25">
      <c r="A66" s="16" t="s">
        <v>53</v>
      </c>
      <c r="B66" s="17">
        <v>0.69499999999999995</v>
      </c>
      <c r="C66" s="14">
        <v>8.5000000000000006E-2</v>
      </c>
      <c r="D66" s="15">
        <f>C66/B66</f>
        <v>0.12230215827338131</v>
      </c>
    </row>
    <row r="67" spans="1:4" x14ac:dyDescent="0.25">
      <c r="A67" s="16" t="s">
        <v>56</v>
      </c>
      <c r="B67" s="17">
        <v>0.29099999999999998</v>
      </c>
      <c r="C67" s="14">
        <v>3.2000000000000001E-2</v>
      </c>
      <c r="D67" s="15">
        <f>C67/B67</f>
        <v>0.10996563573883163</v>
      </c>
    </row>
    <row r="68" spans="1:4" x14ac:dyDescent="0.25">
      <c r="A68" s="16" t="s">
        <v>79</v>
      </c>
      <c r="B68" s="17">
        <v>0.47499999999999998</v>
      </c>
      <c r="C68" s="14">
        <v>4.7E-2</v>
      </c>
      <c r="D68" s="15">
        <f>C68/B68</f>
        <v>9.8947368421052631E-2</v>
      </c>
    </row>
    <row r="69" spans="1:4" x14ac:dyDescent="0.25">
      <c r="A69" s="16" t="s">
        <v>11</v>
      </c>
      <c r="B69" s="17">
        <v>0.54</v>
      </c>
      <c r="C69" s="14">
        <v>4.7E-2</v>
      </c>
      <c r="D69" s="15">
        <f>C69/B69</f>
        <v>8.7037037037037038E-2</v>
      </c>
    </row>
    <row r="70" spans="1:4" x14ac:dyDescent="0.25">
      <c r="A70" s="16" t="s">
        <v>52</v>
      </c>
      <c r="B70" s="17">
        <v>1.17</v>
      </c>
      <c r="C70" s="14">
        <v>9.4E-2</v>
      </c>
      <c r="D70" s="15">
        <f>C70/B70</f>
        <v>8.0341880341880348E-2</v>
      </c>
    </row>
    <row r="71" spans="1:4" x14ac:dyDescent="0.25">
      <c r="A71" s="16" t="s">
        <v>30</v>
      </c>
      <c r="B71" s="17">
        <v>0.57599999999999996</v>
      </c>
      <c r="C71" s="14">
        <v>3.7999999999999999E-2</v>
      </c>
      <c r="D71" s="15">
        <f>C71/B71</f>
        <v>6.5972222222222224E-2</v>
      </c>
    </row>
    <row r="72" spans="1:4" x14ac:dyDescent="0.25">
      <c r="A72" s="16" t="s">
        <v>44</v>
      </c>
      <c r="B72" s="17">
        <v>4.3570000000000002</v>
      </c>
      <c r="C72" s="14">
        <v>0.27900000000000003</v>
      </c>
      <c r="D72" s="15">
        <f>C72/B72</f>
        <v>6.4034886389717702E-2</v>
      </c>
    </row>
    <row r="73" spans="1:4" x14ac:dyDescent="0.25">
      <c r="A73" s="16" t="s">
        <v>103</v>
      </c>
      <c r="B73" s="17">
        <v>0.51</v>
      </c>
      <c r="C73" s="14">
        <v>3.2000000000000001E-2</v>
      </c>
      <c r="D73" s="15">
        <f>C73/B73</f>
        <v>6.2745098039215685E-2</v>
      </c>
    </row>
    <row r="74" spans="1:4" x14ac:dyDescent="0.25">
      <c r="A74" s="16" t="s">
        <v>57</v>
      </c>
      <c r="B74" s="17">
        <v>0.61799999999999999</v>
      </c>
      <c r="C74" s="14">
        <v>3.7999999999999999E-2</v>
      </c>
      <c r="D74" s="15">
        <f>C74/B74</f>
        <v>6.1488673139158574E-2</v>
      </c>
    </row>
    <row r="75" spans="1:4" x14ac:dyDescent="0.25">
      <c r="A75" s="16" t="s">
        <v>16</v>
      </c>
      <c r="B75" s="17">
        <v>1.181</v>
      </c>
      <c r="C75" s="14">
        <v>7.0000000000000007E-2</v>
      </c>
      <c r="D75" s="15">
        <f>C75/B75</f>
        <v>5.927180355630822E-2</v>
      </c>
    </row>
    <row r="76" spans="1:4" x14ac:dyDescent="0.25">
      <c r="A76" s="16" t="s">
        <v>47</v>
      </c>
      <c r="B76" s="17">
        <v>0.64400000000000002</v>
      </c>
      <c r="C76" s="14">
        <v>3.7999999999999999E-2</v>
      </c>
      <c r="D76" s="15">
        <f>C76/B76</f>
        <v>5.9006211180124224E-2</v>
      </c>
    </row>
    <row r="77" spans="1:4" x14ac:dyDescent="0.25">
      <c r="A77" s="16" t="s">
        <v>74</v>
      </c>
      <c r="B77" s="17">
        <v>0.66900000000000004</v>
      </c>
      <c r="C77" s="14">
        <v>3.2000000000000001E-2</v>
      </c>
      <c r="D77" s="15">
        <f>C77/B77</f>
        <v>4.7832585949177879E-2</v>
      </c>
    </row>
    <row r="78" spans="1:4" x14ac:dyDescent="0.25">
      <c r="A78" s="16" t="s">
        <v>40</v>
      </c>
      <c r="B78" s="17">
        <v>0.99</v>
      </c>
      <c r="C78" s="14">
        <v>0</v>
      </c>
      <c r="D78" s="15">
        <f>C78/B78</f>
        <v>0</v>
      </c>
    </row>
    <row r="79" spans="1:4" x14ac:dyDescent="0.25">
      <c r="A79" s="16" t="s">
        <v>101</v>
      </c>
      <c r="B79" s="17">
        <v>0.51700000000000002</v>
      </c>
      <c r="C79" s="14">
        <v>0</v>
      </c>
      <c r="D79" s="15">
        <f>C79/B79</f>
        <v>0</v>
      </c>
    </row>
    <row r="80" spans="1:4" x14ac:dyDescent="0.25">
      <c r="A80" s="16" t="s">
        <v>34</v>
      </c>
      <c r="B80" s="17">
        <v>0.29899999999999999</v>
      </c>
      <c r="C80" s="14">
        <v>0</v>
      </c>
      <c r="D80" s="15">
        <f>C80/B80</f>
        <v>0</v>
      </c>
    </row>
    <row r="81" spans="1:4" x14ac:dyDescent="0.25">
      <c r="A81" s="16" t="s">
        <v>89</v>
      </c>
      <c r="B81" s="17">
        <v>0.214</v>
      </c>
      <c r="C81" s="14">
        <v>0</v>
      </c>
      <c r="D81" s="15">
        <f>C81/B81</f>
        <v>0</v>
      </c>
    </row>
    <row r="82" spans="1:4" x14ac:dyDescent="0.25">
      <c r="A82" s="16" t="s">
        <v>75</v>
      </c>
      <c r="B82" s="17">
        <v>0.20200000000000001</v>
      </c>
      <c r="C82" s="14">
        <v>0</v>
      </c>
      <c r="D82" s="15">
        <f>C82/B82</f>
        <v>0</v>
      </c>
    </row>
    <row r="83" spans="1:4" x14ac:dyDescent="0.25">
      <c r="A83" s="16" t="s">
        <v>97</v>
      </c>
      <c r="B83" s="17">
        <v>0.16800000000000001</v>
      </c>
      <c r="C83" s="14">
        <v>0</v>
      </c>
      <c r="D83" s="15">
        <f>C83/B83</f>
        <v>0</v>
      </c>
    </row>
    <row r="84" spans="1:4" x14ac:dyDescent="0.25">
      <c r="A84" s="16" t="s">
        <v>43</v>
      </c>
      <c r="B84" s="17">
        <v>0.14199999999999999</v>
      </c>
      <c r="C84" s="14">
        <v>0</v>
      </c>
      <c r="D84" s="15">
        <f>C84/B84</f>
        <v>0</v>
      </c>
    </row>
    <row r="85" spans="1:4" x14ac:dyDescent="0.25">
      <c r="A85" s="16" t="s">
        <v>73</v>
      </c>
      <c r="B85" s="17">
        <v>0.14000000000000001</v>
      </c>
      <c r="C85" s="14">
        <v>0</v>
      </c>
      <c r="D85" s="15">
        <f>C85/B85</f>
        <v>0</v>
      </c>
    </row>
    <row r="86" spans="1:4" x14ac:dyDescent="0.25">
      <c r="A86" s="16" t="s">
        <v>85</v>
      </c>
      <c r="B86" s="17">
        <v>0.129</v>
      </c>
      <c r="C86" s="14">
        <v>0</v>
      </c>
      <c r="D86" s="15">
        <f>C86/B86</f>
        <v>0</v>
      </c>
    </row>
    <row r="87" spans="1:4" x14ac:dyDescent="0.25">
      <c r="A87" s="16" t="s">
        <v>107</v>
      </c>
      <c r="B87" s="17">
        <v>0.126</v>
      </c>
      <c r="C87" s="14">
        <v>0</v>
      </c>
      <c r="D87" s="15">
        <f>C87/B87</f>
        <v>0</v>
      </c>
    </row>
    <row r="88" spans="1:4" x14ac:dyDescent="0.25">
      <c r="A88" s="16" t="s">
        <v>83</v>
      </c>
      <c r="B88" s="17">
        <v>0.105</v>
      </c>
      <c r="C88" s="14">
        <v>0</v>
      </c>
      <c r="D88" s="15">
        <f>C88/B88</f>
        <v>0</v>
      </c>
    </row>
    <row r="89" spans="1:4" x14ac:dyDescent="0.25">
      <c r="A89" s="16" t="s">
        <v>115</v>
      </c>
      <c r="B89" s="17">
        <v>9.5000000000000001E-2</v>
      </c>
      <c r="C89" s="14">
        <v>0</v>
      </c>
      <c r="D89" s="15">
        <f>C89/B89</f>
        <v>0</v>
      </c>
    </row>
    <row r="90" spans="1:4" x14ac:dyDescent="0.25">
      <c r="A90" s="16" t="s">
        <v>60</v>
      </c>
      <c r="B90" s="17">
        <v>9.5000000000000001E-2</v>
      </c>
      <c r="C90" s="14">
        <v>0</v>
      </c>
      <c r="D90" s="15">
        <f>C90/B90</f>
        <v>0</v>
      </c>
    </row>
    <row r="91" spans="1:4" x14ac:dyDescent="0.25">
      <c r="A91" s="16" t="s">
        <v>125</v>
      </c>
      <c r="B91" s="17">
        <v>8.5000000000000006E-2</v>
      </c>
      <c r="C91" s="14">
        <v>0</v>
      </c>
      <c r="D91" s="15">
        <f>C91/B91</f>
        <v>0</v>
      </c>
    </row>
    <row r="92" spans="1:4" x14ac:dyDescent="0.25">
      <c r="A92" s="16" t="s">
        <v>104</v>
      </c>
      <c r="B92" s="17">
        <v>7.8E-2</v>
      </c>
      <c r="C92" s="14">
        <v>0</v>
      </c>
      <c r="D92" s="15">
        <f>C92/B92</f>
        <v>0</v>
      </c>
    </row>
    <row r="93" spans="1:4" x14ac:dyDescent="0.25">
      <c r="A93" s="16" t="s">
        <v>131</v>
      </c>
      <c r="B93" s="17">
        <v>7.3999999999999996E-2</v>
      </c>
      <c r="C93" s="14">
        <v>0</v>
      </c>
      <c r="D93" s="15">
        <f>C93/B93</f>
        <v>0</v>
      </c>
    </row>
    <row r="94" spans="1:4" x14ac:dyDescent="0.25">
      <c r="A94" s="16" t="s">
        <v>51</v>
      </c>
      <c r="B94" s="17">
        <v>7.0000000000000007E-2</v>
      </c>
      <c r="C94" s="14">
        <v>0</v>
      </c>
      <c r="D94" s="15">
        <f>C94/B94</f>
        <v>0</v>
      </c>
    </row>
    <row r="95" spans="1:4" x14ac:dyDescent="0.25">
      <c r="A95" s="16" t="s">
        <v>81</v>
      </c>
      <c r="B95" s="17">
        <v>6.7000000000000004E-2</v>
      </c>
      <c r="C95" s="14">
        <v>0</v>
      </c>
      <c r="D95" s="15">
        <f>C95/B95</f>
        <v>0</v>
      </c>
    </row>
    <row r="96" spans="1:4" x14ac:dyDescent="0.25">
      <c r="A96" s="16" t="s">
        <v>91</v>
      </c>
      <c r="B96" s="17">
        <v>6.4000000000000001E-2</v>
      </c>
      <c r="C96" s="14">
        <v>0</v>
      </c>
      <c r="D96" s="15">
        <f>C96/B96</f>
        <v>0</v>
      </c>
    </row>
    <row r="97" spans="1:4" x14ac:dyDescent="0.25">
      <c r="A97" s="16" t="s">
        <v>136</v>
      </c>
      <c r="B97" s="17">
        <v>4.7E-2</v>
      </c>
      <c r="C97" s="14">
        <v>0</v>
      </c>
      <c r="D97" s="15">
        <f>C97/B97</f>
        <v>0</v>
      </c>
    </row>
    <row r="98" spans="1:4" x14ac:dyDescent="0.25">
      <c r="A98" s="16" t="s">
        <v>139</v>
      </c>
      <c r="B98" s="17">
        <v>3.7999999999999999E-2</v>
      </c>
      <c r="C98" s="14">
        <v>0</v>
      </c>
      <c r="D98" s="15">
        <f>C98/B98</f>
        <v>0</v>
      </c>
    </row>
    <row r="99" spans="1:4" x14ac:dyDescent="0.25">
      <c r="A99" s="16" t="s">
        <v>110</v>
      </c>
      <c r="B99" s="17">
        <v>3.5000000000000003E-2</v>
      </c>
      <c r="C99" s="14">
        <v>0</v>
      </c>
      <c r="D99" s="15">
        <f>C99/B99</f>
        <v>0</v>
      </c>
    </row>
    <row r="100" spans="1:4" x14ac:dyDescent="0.25">
      <c r="A100" s="16" t="s">
        <v>99</v>
      </c>
      <c r="B100" s="17">
        <v>3.5000000000000003E-2</v>
      </c>
      <c r="C100" s="14">
        <v>0</v>
      </c>
      <c r="D100" s="15">
        <f>C100/B100</f>
        <v>0</v>
      </c>
    </row>
    <row r="101" spans="1:4" x14ac:dyDescent="0.25">
      <c r="A101" s="16" t="s">
        <v>138</v>
      </c>
      <c r="B101" s="17">
        <v>3.2000000000000001E-2</v>
      </c>
      <c r="C101" s="14">
        <v>0</v>
      </c>
      <c r="D101" s="15">
        <f>C101/B101</f>
        <v>0</v>
      </c>
    </row>
    <row r="102" spans="1:4" x14ac:dyDescent="0.25">
      <c r="A102" s="16" t="s">
        <v>133</v>
      </c>
      <c r="B102" s="17">
        <v>3.2000000000000001E-2</v>
      </c>
      <c r="C102" s="14">
        <v>0</v>
      </c>
      <c r="D102" s="15">
        <f>C102/B102</f>
        <v>0</v>
      </c>
    </row>
    <row r="103" spans="1:4" x14ac:dyDescent="0.25">
      <c r="A103" s="16" t="s">
        <v>80</v>
      </c>
      <c r="B103" s="17">
        <v>1.6E-2</v>
      </c>
      <c r="C103" s="14">
        <v>0</v>
      </c>
      <c r="D103" s="15">
        <f>C103/B103</f>
        <v>0</v>
      </c>
    </row>
    <row r="104" spans="1:4" x14ac:dyDescent="0.25">
      <c r="A104" s="16" t="s">
        <v>78</v>
      </c>
      <c r="B104" s="17">
        <v>1.6E-2</v>
      </c>
      <c r="C104" s="14">
        <v>0</v>
      </c>
      <c r="D104" s="15">
        <f>C104/B104</f>
        <v>0</v>
      </c>
    </row>
    <row r="105" spans="1:4" x14ac:dyDescent="0.25">
      <c r="A105" s="16" t="s">
        <v>152</v>
      </c>
      <c r="B105" s="17">
        <v>0.01</v>
      </c>
      <c r="C105" s="14">
        <v>0</v>
      </c>
      <c r="D105" s="15">
        <f>C105/B105</f>
        <v>0</v>
      </c>
    </row>
  </sheetData>
  <autoFilter ref="A2:D2" xr:uid="{5643D732-7D28-4C8F-87F7-63EE72F44922}">
    <sortState xmlns:xlrd2="http://schemas.microsoft.com/office/spreadsheetml/2017/richdata2" ref="A3:D105">
      <sortCondition descending="1" ref="D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E63D-C8DD-4580-B829-3088203EA32E}">
  <dimension ref="A1:D89"/>
  <sheetViews>
    <sheetView workbookViewId="0"/>
  </sheetViews>
  <sheetFormatPr defaultRowHeight="15" x14ac:dyDescent="0.25"/>
  <cols>
    <col min="1" max="1" width="25.7109375" style="3" customWidth="1"/>
    <col min="2" max="3" width="10.7109375" style="7" customWidth="1"/>
    <col min="4" max="4" width="10.7109375" style="3" customWidth="1"/>
    <col min="5" max="16384" width="9.140625" style="3"/>
  </cols>
  <sheetData>
    <row r="1" spans="1:4" ht="21" x14ac:dyDescent="0.35">
      <c r="A1" s="23" t="s">
        <v>262</v>
      </c>
    </row>
    <row r="2" spans="1:4" x14ac:dyDescent="0.25">
      <c r="A2" s="5" t="s">
        <v>0</v>
      </c>
      <c r="B2" s="6" t="s">
        <v>1</v>
      </c>
      <c r="C2" s="6" t="s">
        <v>2</v>
      </c>
      <c r="D2" s="5" t="s">
        <v>3</v>
      </c>
    </row>
    <row r="3" spans="1:4" x14ac:dyDescent="0.25">
      <c r="A3" s="16" t="s">
        <v>108</v>
      </c>
      <c r="B3" s="17">
        <v>6.3E-2</v>
      </c>
      <c r="C3" s="14">
        <v>0.125</v>
      </c>
      <c r="D3" s="15">
        <f>C3/B3</f>
        <v>1.9841269841269842</v>
      </c>
    </row>
    <row r="4" spans="1:4" x14ac:dyDescent="0.25">
      <c r="A4" s="16" t="s">
        <v>127</v>
      </c>
      <c r="B4" s="17">
        <v>0.56100000000000005</v>
      </c>
      <c r="C4" s="14">
        <v>0.75800000000000001</v>
      </c>
      <c r="D4" s="15">
        <f>C4/B4</f>
        <v>1.3511586452762923</v>
      </c>
    </row>
    <row r="5" spans="1:4" x14ac:dyDescent="0.25">
      <c r="A5" s="16" t="s">
        <v>133</v>
      </c>
      <c r="B5" s="17">
        <v>5.3999999999999999E-2</v>
      </c>
      <c r="C5" s="14">
        <v>5.3999999999999999E-2</v>
      </c>
      <c r="D5" s="15">
        <f>C5/B5</f>
        <v>1</v>
      </c>
    </row>
    <row r="6" spans="1:4" x14ac:dyDescent="0.25">
      <c r="A6" s="16" t="s">
        <v>89</v>
      </c>
      <c r="B6" s="17">
        <v>8.8999999999999996E-2</v>
      </c>
      <c r="C6" s="14">
        <v>8.8999999999999996E-2</v>
      </c>
      <c r="D6" s="15">
        <f>C6/B6</f>
        <v>1</v>
      </c>
    </row>
    <row r="7" spans="1:4" x14ac:dyDescent="0.25">
      <c r="A7" s="16" t="s">
        <v>114</v>
      </c>
      <c r="B7" s="17">
        <v>0.10199999999999999</v>
      </c>
      <c r="C7" s="14">
        <v>0.10199999999999999</v>
      </c>
      <c r="D7" s="15">
        <f>C7/B7</f>
        <v>1</v>
      </c>
    </row>
    <row r="8" spans="1:4" x14ac:dyDescent="0.25">
      <c r="A8" s="16" t="s">
        <v>83</v>
      </c>
      <c r="B8" s="17">
        <v>0.10199999999999999</v>
      </c>
      <c r="C8" s="14">
        <v>0.10199999999999999</v>
      </c>
      <c r="D8" s="15">
        <f>C8/B8</f>
        <v>1</v>
      </c>
    </row>
    <row r="9" spans="1:4" x14ac:dyDescent="0.25">
      <c r="A9" s="16" t="s">
        <v>37</v>
      </c>
      <c r="B9" s="17">
        <v>0.13400000000000001</v>
      </c>
      <c r="C9" s="14">
        <v>0.13400000000000001</v>
      </c>
      <c r="D9" s="15">
        <f>C9/B9</f>
        <v>1</v>
      </c>
    </row>
    <row r="10" spans="1:4" x14ac:dyDescent="0.25">
      <c r="A10" s="16" t="s">
        <v>21</v>
      </c>
      <c r="B10" s="17">
        <v>0.191</v>
      </c>
      <c r="C10" s="14">
        <v>0.191</v>
      </c>
      <c r="D10" s="15">
        <f>C10/B10</f>
        <v>1</v>
      </c>
    </row>
    <row r="11" spans="1:4" x14ac:dyDescent="0.25">
      <c r="A11" s="16" t="s">
        <v>139</v>
      </c>
      <c r="B11" s="17">
        <v>0.219</v>
      </c>
      <c r="C11" s="14">
        <v>0.219</v>
      </c>
      <c r="D11" s="15">
        <f>C11/B11</f>
        <v>1</v>
      </c>
    </row>
    <row r="12" spans="1:4" x14ac:dyDescent="0.25">
      <c r="A12" s="16" t="s">
        <v>5</v>
      </c>
      <c r="B12" s="17">
        <v>0.41499999999999998</v>
      </c>
      <c r="C12" s="14">
        <v>0.41499999999999998</v>
      </c>
      <c r="D12" s="15">
        <f>C12/B12</f>
        <v>1</v>
      </c>
    </row>
    <row r="13" spans="1:4" x14ac:dyDescent="0.25">
      <c r="A13" s="16" t="s">
        <v>115</v>
      </c>
      <c r="B13" s="17">
        <v>0.53100000000000003</v>
      </c>
      <c r="C13" s="14">
        <v>0.53100000000000003</v>
      </c>
      <c r="D13" s="15">
        <f>C13/B13</f>
        <v>1</v>
      </c>
    </row>
    <row r="14" spans="1:4" x14ac:dyDescent="0.25">
      <c r="A14" s="16" t="s">
        <v>132</v>
      </c>
      <c r="B14" s="17">
        <v>0.79</v>
      </c>
      <c r="C14" s="14">
        <v>0.79</v>
      </c>
      <c r="D14" s="15">
        <f>C14/B14</f>
        <v>1</v>
      </c>
    </row>
    <row r="15" spans="1:4" x14ac:dyDescent="0.25">
      <c r="A15" s="16" t="s">
        <v>15</v>
      </c>
      <c r="B15" s="17">
        <v>0.879</v>
      </c>
      <c r="C15" s="14">
        <v>0.81200000000000006</v>
      </c>
      <c r="D15" s="15">
        <f>C15/B15</f>
        <v>0.92377701934015932</v>
      </c>
    </row>
    <row r="16" spans="1:4" x14ac:dyDescent="0.25">
      <c r="A16" s="16" t="s">
        <v>19</v>
      </c>
      <c r="B16" s="17">
        <v>0.40500000000000003</v>
      </c>
      <c r="C16" s="14">
        <v>0.37</v>
      </c>
      <c r="D16" s="15">
        <f>C16/B16</f>
        <v>0.9135802469135802</v>
      </c>
    </row>
    <row r="17" spans="1:4" x14ac:dyDescent="0.25">
      <c r="A17" s="16" t="s">
        <v>105</v>
      </c>
      <c r="B17" s="17">
        <v>2.109</v>
      </c>
      <c r="C17" s="14">
        <v>1.895</v>
      </c>
      <c r="D17" s="15">
        <f>C17/B17</f>
        <v>0.89853010905642483</v>
      </c>
    </row>
    <row r="18" spans="1:4" x14ac:dyDescent="0.25">
      <c r="A18" s="16" t="s">
        <v>11</v>
      </c>
      <c r="B18" s="17">
        <v>2.0419999999999998</v>
      </c>
      <c r="C18" s="14">
        <v>1.776</v>
      </c>
      <c r="D18" s="15">
        <f>C18/B18</f>
        <v>0.86973555337904029</v>
      </c>
    </row>
    <row r="19" spans="1:4" x14ac:dyDescent="0.25">
      <c r="A19" s="16" t="s">
        <v>20</v>
      </c>
      <c r="B19" s="17">
        <v>0.20100000000000001</v>
      </c>
      <c r="C19" s="14">
        <v>0.17199999999999999</v>
      </c>
      <c r="D19" s="15">
        <f>C19/B19</f>
        <v>0.85572139303482575</v>
      </c>
    </row>
    <row r="20" spans="1:4" x14ac:dyDescent="0.25">
      <c r="A20" s="16" t="s">
        <v>52</v>
      </c>
      <c r="B20" s="17">
        <v>0.34499999999999997</v>
      </c>
      <c r="C20" s="14">
        <v>0.27800000000000002</v>
      </c>
      <c r="D20" s="15">
        <f>C20/B20</f>
        <v>0.80579710144927552</v>
      </c>
    </row>
    <row r="21" spans="1:4" x14ac:dyDescent="0.25">
      <c r="A21" s="16" t="s">
        <v>79</v>
      </c>
      <c r="B21" s="17">
        <v>1.0029999999999999</v>
      </c>
      <c r="C21" s="14">
        <v>0.79800000000000004</v>
      </c>
      <c r="D21" s="15">
        <f>C21/B21</f>
        <v>0.79561316051844477</v>
      </c>
    </row>
    <row r="22" spans="1:4" x14ac:dyDescent="0.25">
      <c r="A22" s="16" t="s">
        <v>14</v>
      </c>
      <c r="B22" s="17">
        <v>5.3159999999999998</v>
      </c>
      <c r="C22" s="14">
        <v>4.1639999999999997</v>
      </c>
      <c r="D22" s="15">
        <f>C22/B22</f>
        <v>0.78329571106094809</v>
      </c>
    </row>
    <row r="23" spans="1:4" x14ac:dyDescent="0.25">
      <c r="A23" s="16" t="s">
        <v>76</v>
      </c>
      <c r="B23" s="17">
        <v>0.28599999999999998</v>
      </c>
      <c r="C23" s="14">
        <v>0.219</v>
      </c>
      <c r="D23" s="15">
        <f>C23/B23</f>
        <v>0.76573426573426584</v>
      </c>
    </row>
    <row r="24" spans="1:4" x14ac:dyDescent="0.25">
      <c r="A24" s="16" t="s">
        <v>90</v>
      </c>
      <c r="B24" s="17">
        <v>1.018</v>
      </c>
      <c r="C24" s="14">
        <v>0.77900000000000003</v>
      </c>
      <c r="D24" s="15">
        <f>C24/B24</f>
        <v>0.76522593320235754</v>
      </c>
    </row>
    <row r="25" spans="1:4" x14ac:dyDescent="0.25">
      <c r="A25" s="16" t="s">
        <v>82</v>
      </c>
      <c r="B25" s="17">
        <v>1.2669999999999999</v>
      </c>
      <c r="C25" s="14">
        <v>0.95899999999999996</v>
      </c>
      <c r="D25" s="15">
        <f>C25/B25</f>
        <v>0.75690607734806636</v>
      </c>
    </row>
    <row r="26" spans="1:4" x14ac:dyDescent="0.25">
      <c r="A26" s="16" t="s">
        <v>130</v>
      </c>
      <c r="B26" s="17">
        <v>0.14699999999999999</v>
      </c>
      <c r="C26" s="14">
        <v>0.107</v>
      </c>
      <c r="D26" s="15">
        <f>C26/B26</f>
        <v>0.72789115646258506</v>
      </c>
    </row>
    <row r="27" spans="1:4" x14ac:dyDescent="0.25">
      <c r="A27" s="16" t="s">
        <v>42</v>
      </c>
      <c r="B27" s="17">
        <v>2.7160000000000002</v>
      </c>
      <c r="C27" s="14">
        <v>1.972</v>
      </c>
      <c r="D27" s="15">
        <f>C27/B27</f>
        <v>0.72606774668630336</v>
      </c>
    </row>
    <row r="28" spans="1:4" x14ac:dyDescent="0.25">
      <c r="A28" s="16" t="s">
        <v>103</v>
      </c>
      <c r="B28" s="17">
        <v>2.17</v>
      </c>
      <c r="C28" s="14">
        <v>1.526</v>
      </c>
      <c r="D28" s="15">
        <f>C28/B28</f>
        <v>0.70322580645161292</v>
      </c>
    </row>
    <row r="29" spans="1:4" x14ac:dyDescent="0.25">
      <c r="A29" s="16" t="s">
        <v>68</v>
      </c>
      <c r="B29" s="17">
        <v>0.221</v>
      </c>
      <c r="C29" s="14">
        <v>0.154</v>
      </c>
      <c r="D29" s="15">
        <f>C29/B29</f>
        <v>0.69683257918552033</v>
      </c>
    </row>
    <row r="30" spans="1:4" x14ac:dyDescent="0.25">
      <c r="A30" s="16" t="s">
        <v>16</v>
      </c>
      <c r="B30" s="17">
        <v>0.83</v>
      </c>
      <c r="C30" s="14">
        <v>0.56299999999999994</v>
      </c>
      <c r="D30" s="15">
        <f>C30/B30</f>
        <v>0.67831325301204815</v>
      </c>
    </row>
    <row r="31" spans="1:4" x14ac:dyDescent="0.25">
      <c r="A31" s="16" t="s">
        <v>75</v>
      </c>
      <c r="B31" s="17">
        <v>0.316</v>
      </c>
      <c r="C31" s="14">
        <v>0.214</v>
      </c>
      <c r="D31" s="15">
        <f>C31/B31</f>
        <v>0.67721518987341767</v>
      </c>
    </row>
    <row r="32" spans="1:4" x14ac:dyDescent="0.25">
      <c r="A32" s="16" t="s">
        <v>95</v>
      </c>
      <c r="B32" s="17">
        <v>2.69</v>
      </c>
      <c r="C32" s="14">
        <v>1.7789999999999999</v>
      </c>
      <c r="D32" s="15">
        <f>C32/B32</f>
        <v>0.66133828996282529</v>
      </c>
    </row>
    <row r="33" spans="1:4" x14ac:dyDescent="0.25">
      <c r="A33" s="16" t="s">
        <v>9</v>
      </c>
      <c r="B33" s="17">
        <v>1.7450000000000001</v>
      </c>
      <c r="C33" s="14">
        <v>1.153</v>
      </c>
      <c r="D33" s="15">
        <f>C33/B33</f>
        <v>0.66074498567335238</v>
      </c>
    </row>
    <row r="34" spans="1:4" x14ac:dyDescent="0.25">
      <c r="A34" s="16" t="s">
        <v>92</v>
      </c>
      <c r="B34" s="17">
        <v>0.83199999999999996</v>
      </c>
      <c r="C34" s="14">
        <v>0.54500000000000004</v>
      </c>
      <c r="D34" s="15">
        <f>C34/B34</f>
        <v>0.65504807692307698</v>
      </c>
    </row>
    <row r="35" spans="1:4" x14ac:dyDescent="0.25">
      <c r="A35" s="16" t="s">
        <v>4</v>
      </c>
      <c r="B35" s="17">
        <v>0.66600000000000004</v>
      </c>
      <c r="C35" s="14">
        <v>0.41799999999999998</v>
      </c>
      <c r="D35" s="15">
        <f>C35/B35</f>
        <v>0.62762762762762758</v>
      </c>
    </row>
    <row r="36" spans="1:4" x14ac:dyDescent="0.25">
      <c r="A36" s="16" t="s">
        <v>40</v>
      </c>
      <c r="B36" s="17">
        <v>1.0920000000000001</v>
      </c>
      <c r="C36" s="14">
        <v>0.66500000000000004</v>
      </c>
      <c r="D36" s="15">
        <f>C36/B36</f>
        <v>0.60897435897435892</v>
      </c>
    </row>
    <row r="37" spans="1:4" x14ac:dyDescent="0.25">
      <c r="A37" s="16" t="s">
        <v>39</v>
      </c>
      <c r="B37" s="17">
        <v>2.7909999999999999</v>
      </c>
      <c r="C37" s="14">
        <v>1.6379999999999999</v>
      </c>
      <c r="D37" s="15">
        <f>C37/B37</f>
        <v>0.58688642063776419</v>
      </c>
    </row>
    <row r="38" spans="1:4" x14ac:dyDescent="0.25">
      <c r="A38" s="16" t="s">
        <v>8</v>
      </c>
      <c r="B38" s="17">
        <v>1.8819999999999999</v>
      </c>
      <c r="C38" s="14">
        <v>1.0569999999999999</v>
      </c>
      <c r="D38" s="15">
        <f>C38/B38</f>
        <v>0.56163655685441016</v>
      </c>
    </row>
    <row r="39" spans="1:4" x14ac:dyDescent="0.25">
      <c r="A39" s="16" t="s">
        <v>71</v>
      </c>
      <c r="B39" s="17">
        <v>0.96699999999999997</v>
      </c>
      <c r="C39" s="14">
        <v>0.54100000000000004</v>
      </c>
      <c r="D39" s="15">
        <f>C39/B39</f>
        <v>0.55946225439503627</v>
      </c>
    </row>
    <row r="40" spans="1:4" x14ac:dyDescent="0.25">
      <c r="A40" s="16" t="s">
        <v>65</v>
      </c>
      <c r="B40" s="17">
        <v>1.1100000000000001</v>
      </c>
      <c r="C40" s="14">
        <v>0.59799999999999998</v>
      </c>
      <c r="D40" s="15">
        <f>C40/B40</f>
        <v>0.53873873873873868</v>
      </c>
    </row>
    <row r="41" spans="1:4" x14ac:dyDescent="0.25">
      <c r="A41" s="16" t="s">
        <v>61</v>
      </c>
      <c r="B41" s="17">
        <v>2.242</v>
      </c>
      <c r="C41" s="14">
        <v>1.1659999999999999</v>
      </c>
      <c r="D41" s="15">
        <f>C41/B41</f>
        <v>0.52007136485280991</v>
      </c>
    </row>
    <row r="42" spans="1:4" x14ac:dyDescent="0.25">
      <c r="A42" s="16" t="s">
        <v>64</v>
      </c>
      <c r="B42" s="17">
        <v>1.097</v>
      </c>
      <c r="C42" s="14">
        <v>0.52600000000000002</v>
      </c>
      <c r="D42" s="15">
        <f>C42/B42</f>
        <v>0.47948951686417507</v>
      </c>
    </row>
    <row r="43" spans="1:4" x14ac:dyDescent="0.25">
      <c r="A43" s="16" t="s">
        <v>45</v>
      </c>
      <c r="B43" s="17">
        <v>5.0389999999999997</v>
      </c>
      <c r="C43" s="14">
        <v>2.38</v>
      </c>
      <c r="D43" s="15">
        <f>C43/B43</f>
        <v>0.47231593570152808</v>
      </c>
    </row>
    <row r="44" spans="1:4" x14ac:dyDescent="0.25">
      <c r="A44" s="16" t="s">
        <v>104</v>
      </c>
      <c r="B44" s="17">
        <v>2.569</v>
      </c>
      <c r="C44" s="14">
        <v>1.143</v>
      </c>
      <c r="D44" s="15">
        <f>C44/B44</f>
        <v>0.44492020241339042</v>
      </c>
    </row>
    <row r="45" spans="1:4" x14ac:dyDescent="0.25">
      <c r="A45" s="16" t="s">
        <v>149</v>
      </c>
      <c r="B45" s="17">
        <v>1.645</v>
      </c>
      <c r="C45" s="14">
        <v>0.71199999999999997</v>
      </c>
      <c r="D45" s="15">
        <f>C45/B45</f>
        <v>0.43282674772036472</v>
      </c>
    </row>
    <row r="46" spans="1:4" x14ac:dyDescent="0.25">
      <c r="A46" s="16" t="s">
        <v>109</v>
      </c>
      <c r="B46" s="17">
        <v>0.58299999999999996</v>
      </c>
      <c r="C46" s="14">
        <v>0.252</v>
      </c>
      <c r="D46" s="15">
        <f>C46/B46</f>
        <v>0.43224699828473417</v>
      </c>
    </row>
    <row r="47" spans="1:4" x14ac:dyDescent="0.25">
      <c r="A47" s="16" t="s">
        <v>28</v>
      </c>
      <c r="B47" s="17">
        <v>2.9529999999999998</v>
      </c>
      <c r="C47" s="14">
        <v>1.24</v>
      </c>
      <c r="D47" s="15">
        <f>C47/B47</f>
        <v>0.41991195394514058</v>
      </c>
    </row>
    <row r="48" spans="1:4" x14ac:dyDescent="0.25">
      <c r="A48" s="16" t="s">
        <v>18</v>
      </c>
      <c r="B48" s="17">
        <v>0.91500000000000004</v>
      </c>
      <c r="C48" s="14">
        <v>0.38100000000000001</v>
      </c>
      <c r="D48" s="15">
        <f>C48/B48</f>
        <v>0.4163934426229508</v>
      </c>
    </row>
    <row r="49" spans="1:4" x14ac:dyDescent="0.25">
      <c r="A49" s="16" t="s">
        <v>59</v>
      </c>
      <c r="B49" s="17">
        <v>3.1469999999999998</v>
      </c>
      <c r="C49" s="14">
        <v>1.268</v>
      </c>
      <c r="D49" s="15">
        <f>C49/B49</f>
        <v>0.40292341912932955</v>
      </c>
    </row>
    <row r="50" spans="1:4" x14ac:dyDescent="0.25">
      <c r="A50" s="16" t="s">
        <v>46</v>
      </c>
      <c r="B50" s="17">
        <v>0.27300000000000002</v>
      </c>
      <c r="C50" s="14">
        <v>9.6000000000000002E-2</v>
      </c>
      <c r="D50" s="15">
        <f>C50/B50</f>
        <v>0.35164835164835162</v>
      </c>
    </row>
    <row r="51" spans="1:4" x14ac:dyDescent="0.25">
      <c r="A51" s="16" t="s">
        <v>36</v>
      </c>
      <c r="B51" s="17">
        <v>0.89900000000000002</v>
      </c>
      <c r="C51" s="14">
        <v>0.315</v>
      </c>
      <c r="D51" s="15">
        <f>C51/B51</f>
        <v>0.3503893214682981</v>
      </c>
    </row>
    <row r="52" spans="1:4" x14ac:dyDescent="0.25">
      <c r="A52" s="16" t="s">
        <v>29</v>
      </c>
      <c r="B52" s="17">
        <v>0.64900000000000002</v>
      </c>
      <c r="C52" s="14">
        <v>0.223</v>
      </c>
      <c r="D52" s="15">
        <f>C52/B52</f>
        <v>0.34360554699537749</v>
      </c>
    </row>
    <row r="53" spans="1:4" x14ac:dyDescent="0.25">
      <c r="A53" s="16" t="s">
        <v>38</v>
      </c>
      <c r="B53" s="17">
        <v>4.3070000000000004</v>
      </c>
      <c r="C53" s="14">
        <v>1.3360000000000001</v>
      </c>
      <c r="D53" s="15">
        <f>C53/B53</f>
        <v>0.31019270954260503</v>
      </c>
    </row>
    <row r="54" spans="1:4" x14ac:dyDescent="0.25">
      <c r="A54" s="16" t="s">
        <v>107</v>
      </c>
      <c r="B54" s="17">
        <v>0.22</v>
      </c>
      <c r="C54" s="14">
        <v>6.7000000000000004E-2</v>
      </c>
      <c r="D54" s="15">
        <f>C54/B54</f>
        <v>0.30454545454545456</v>
      </c>
    </row>
    <row r="55" spans="1:4" x14ac:dyDescent="0.25">
      <c r="A55" s="16" t="s">
        <v>96</v>
      </c>
      <c r="B55" s="17">
        <v>0.40899999999999997</v>
      </c>
      <c r="C55" s="14">
        <v>0.124</v>
      </c>
      <c r="D55" s="15">
        <f>C55/B55</f>
        <v>0.30317848410757947</v>
      </c>
    </row>
    <row r="56" spans="1:4" x14ac:dyDescent="0.25">
      <c r="A56" s="16" t="s">
        <v>32</v>
      </c>
      <c r="B56" s="17">
        <v>0.28100000000000003</v>
      </c>
      <c r="C56" s="14">
        <v>8.5000000000000006E-2</v>
      </c>
      <c r="D56" s="15">
        <f>C56/B56</f>
        <v>0.30249110320284694</v>
      </c>
    </row>
    <row r="57" spans="1:4" x14ac:dyDescent="0.25">
      <c r="A57" s="16" t="s">
        <v>22</v>
      </c>
      <c r="B57" s="17">
        <v>0.47399999999999998</v>
      </c>
      <c r="C57" s="14">
        <v>0.13400000000000001</v>
      </c>
      <c r="D57" s="15">
        <f>C57/B57</f>
        <v>0.28270042194092831</v>
      </c>
    </row>
    <row r="58" spans="1:4" x14ac:dyDescent="0.25">
      <c r="A58" s="16" t="s">
        <v>136</v>
      </c>
      <c r="B58" s="17">
        <v>0.154</v>
      </c>
      <c r="C58" s="14">
        <v>3.7999999999999999E-2</v>
      </c>
      <c r="D58" s="15">
        <f>C58/B58</f>
        <v>0.24675324675324675</v>
      </c>
    </row>
    <row r="59" spans="1:4" x14ac:dyDescent="0.25">
      <c r="A59" s="16" t="s">
        <v>12</v>
      </c>
      <c r="B59" s="17">
        <v>0.76</v>
      </c>
      <c r="C59" s="14">
        <v>0.16900000000000001</v>
      </c>
      <c r="D59" s="15">
        <f>C59/B59</f>
        <v>0.2223684210526316</v>
      </c>
    </row>
    <row r="60" spans="1:4" x14ac:dyDescent="0.25">
      <c r="A60" s="16" t="s">
        <v>97</v>
      </c>
      <c r="B60" s="17">
        <v>2.581</v>
      </c>
      <c r="C60" s="14">
        <v>0.52600000000000002</v>
      </c>
      <c r="D60" s="15">
        <f>C60/B60</f>
        <v>0.20379697791553664</v>
      </c>
    </row>
    <row r="61" spans="1:4" x14ac:dyDescent="0.25">
      <c r="A61" s="16" t="s">
        <v>13</v>
      </c>
      <c r="B61" s="17">
        <v>1.0249999999999999</v>
      </c>
      <c r="C61" s="14">
        <v>0.19600000000000001</v>
      </c>
      <c r="D61" s="15">
        <f>C61/B61</f>
        <v>0.19121951219512198</v>
      </c>
    </row>
    <row r="62" spans="1:4" x14ac:dyDescent="0.25">
      <c r="A62" s="16" t="s">
        <v>63</v>
      </c>
      <c r="B62" s="17">
        <v>0.55800000000000005</v>
      </c>
      <c r="C62" s="14">
        <v>0.10199999999999999</v>
      </c>
      <c r="D62" s="15">
        <f>C62/B62</f>
        <v>0.18279569892473116</v>
      </c>
    </row>
    <row r="63" spans="1:4" x14ac:dyDescent="0.25">
      <c r="A63" s="16" t="s">
        <v>44</v>
      </c>
      <c r="B63" s="17">
        <v>2.1520000000000001</v>
      </c>
      <c r="C63" s="14">
        <v>0.38800000000000001</v>
      </c>
      <c r="D63" s="15">
        <f>C63/B63</f>
        <v>0.18029739776951673</v>
      </c>
    </row>
    <row r="64" spans="1:4" x14ac:dyDescent="0.25">
      <c r="A64" s="16" t="s">
        <v>53</v>
      </c>
      <c r="B64" s="17">
        <v>0.46300000000000002</v>
      </c>
      <c r="C64" s="14">
        <v>7.0000000000000007E-2</v>
      </c>
      <c r="D64" s="15">
        <f>C64/B64</f>
        <v>0.15118790496760259</v>
      </c>
    </row>
    <row r="65" spans="1:4" x14ac:dyDescent="0.25">
      <c r="A65" s="16" t="s">
        <v>121</v>
      </c>
      <c r="B65" s="17">
        <v>1.0109999999999999</v>
      </c>
      <c r="C65" s="14">
        <v>0.125</v>
      </c>
      <c r="D65" s="15">
        <f>C65/B65</f>
        <v>0.12363996043521268</v>
      </c>
    </row>
    <row r="66" spans="1:4" x14ac:dyDescent="0.25">
      <c r="A66" s="16" t="s">
        <v>47</v>
      </c>
      <c r="B66" s="17">
        <v>1.2390000000000001</v>
      </c>
      <c r="C66" s="14">
        <v>4.4999999999999998E-2</v>
      </c>
      <c r="D66" s="15">
        <f>C66/B66</f>
        <v>3.6319612590799029E-2</v>
      </c>
    </row>
    <row r="67" spans="1:4" x14ac:dyDescent="0.25">
      <c r="A67" s="16" t="s">
        <v>146</v>
      </c>
      <c r="B67" s="17">
        <v>1.7999999999999999E-2</v>
      </c>
      <c r="C67" s="14">
        <v>0</v>
      </c>
      <c r="D67" s="15">
        <f>C67/B67</f>
        <v>0</v>
      </c>
    </row>
    <row r="68" spans="1:4" x14ac:dyDescent="0.25">
      <c r="A68" s="16" t="s">
        <v>88</v>
      </c>
      <c r="B68" s="17">
        <v>3.2000000000000001E-2</v>
      </c>
      <c r="C68" s="14">
        <v>0</v>
      </c>
      <c r="D68" s="15">
        <f>C68/B68</f>
        <v>0</v>
      </c>
    </row>
    <row r="69" spans="1:4" x14ac:dyDescent="0.25">
      <c r="A69" s="16" t="s">
        <v>101</v>
      </c>
      <c r="B69" s="17">
        <v>3.3000000000000002E-2</v>
      </c>
      <c r="C69" s="14">
        <v>0</v>
      </c>
      <c r="D69" s="15">
        <f>C69/B69</f>
        <v>0</v>
      </c>
    </row>
    <row r="70" spans="1:4" x14ac:dyDescent="0.25">
      <c r="A70" s="16" t="s">
        <v>111</v>
      </c>
      <c r="B70" s="17">
        <v>5.0999999999999997E-2</v>
      </c>
      <c r="C70" s="14">
        <v>0</v>
      </c>
      <c r="D70" s="15">
        <f>C70/B70</f>
        <v>0</v>
      </c>
    </row>
    <row r="71" spans="1:4" x14ac:dyDescent="0.25">
      <c r="A71" s="16" t="s">
        <v>60</v>
      </c>
      <c r="B71" s="17">
        <v>5.1999999999999998E-2</v>
      </c>
      <c r="C71" s="14">
        <v>0</v>
      </c>
      <c r="D71" s="15">
        <f>C71/B71</f>
        <v>0</v>
      </c>
    </row>
    <row r="72" spans="1:4" x14ac:dyDescent="0.25">
      <c r="A72" s="16" t="s">
        <v>85</v>
      </c>
      <c r="B72" s="17">
        <v>5.5E-2</v>
      </c>
      <c r="C72" s="14">
        <v>0</v>
      </c>
      <c r="D72" s="15">
        <f>C72/B72</f>
        <v>0</v>
      </c>
    </row>
    <row r="73" spans="1:4" x14ac:dyDescent="0.25">
      <c r="A73" s="16" t="s">
        <v>43</v>
      </c>
      <c r="B73" s="17">
        <v>8.5000000000000006E-2</v>
      </c>
      <c r="C73" s="14">
        <v>0</v>
      </c>
      <c r="D73" s="15">
        <f>C73/B73</f>
        <v>0</v>
      </c>
    </row>
    <row r="74" spans="1:4" x14ac:dyDescent="0.25">
      <c r="A74" s="16" t="s">
        <v>144</v>
      </c>
      <c r="B74" s="17">
        <v>8.8999999999999996E-2</v>
      </c>
      <c r="C74" s="14">
        <v>0</v>
      </c>
      <c r="D74" s="15">
        <f>C74/B74</f>
        <v>0</v>
      </c>
    </row>
    <row r="75" spans="1:4" x14ac:dyDescent="0.25">
      <c r="A75" s="16" t="s">
        <v>150</v>
      </c>
      <c r="B75" s="17">
        <v>0.13400000000000001</v>
      </c>
      <c r="C75" s="14">
        <v>0</v>
      </c>
      <c r="D75" s="15">
        <f>C75/B75</f>
        <v>0</v>
      </c>
    </row>
    <row r="76" spans="1:4" x14ac:dyDescent="0.25">
      <c r="A76" s="16" t="s">
        <v>7</v>
      </c>
      <c r="B76" s="17">
        <v>0.13400000000000001</v>
      </c>
      <c r="C76" s="14">
        <v>0</v>
      </c>
      <c r="D76" s="15">
        <f>C76/B76</f>
        <v>0</v>
      </c>
    </row>
    <row r="77" spans="1:4" x14ac:dyDescent="0.25">
      <c r="A77" s="16" t="s">
        <v>129</v>
      </c>
      <c r="B77" s="17">
        <v>0.187</v>
      </c>
      <c r="C77" s="14">
        <v>0</v>
      </c>
      <c r="D77" s="15">
        <f>C77/B77</f>
        <v>0</v>
      </c>
    </row>
    <row r="78" spans="1:4" x14ac:dyDescent="0.25">
      <c r="A78" s="16" t="s">
        <v>73</v>
      </c>
      <c r="B78" s="17">
        <v>0.23</v>
      </c>
      <c r="C78" s="14">
        <v>0</v>
      </c>
      <c r="D78" s="15">
        <f>C78/B78</f>
        <v>0</v>
      </c>
    </row>
    <row r="79" spans="1:4" x14ac:dyDescent="0.25">
      <c r="A79" s="16" t="s">
        <v>56</v>
      </c>
      <c r="B79" s="17">
        <v>0.255</v>
      </c>
      <c r="C79" s="14">
        <v>0</v>
      </c>
      <c r="D79" s="15">
        <f>C79/B79</f>
        <v>0</v>
      </c>
    </row>
    <row r="80" spans="1:4" x14ac:dyDescent="0.25">
      <c r="A80" s="16" t="s">
        <v>6</v>
      </c>
      <c r="B80" s="17">
        <v>0.28999999999999998</v>
      </c>
      <c r="C80" s="14">
        <v>0</v>
      </c>
      <c r="D80" s="15">
        <f>C80/B80</f>
        <v>0</v>
      </c>
    </row>
    <row r="81" spans="1:4" x14ac:dyDescent="0.25">
      <c r="A81" s="16" t="s">
        <v>30</v>
      </c>
      <c r="B81" s="17">
        <v>0.29199999999999998</v>
      </c>
      <c r="C81" s="14">
        <v>0</v>
      </c>
      <c r="D81" s="15">
        <f>C81/B81</f>
        <v>0</v>
      </c>
    </row>
    <row r="82" spans="1:4" x14ac:dyDescent="0.25">
      <c r="A82" s="16" t="s">
        <v>57</v>
      </c>
      <c r="B82" s="17">
        <v>0.33400000000000002</v>
      </c>
      <c r="C82" s="14">
        <v>0</v>
      </c>
      <c r="D82" s="15">
        <f>C82/B82</f>
        <v>0</v>
      </c>
    </row>
    <row r="83" spans="1:4" x14ac:dyDescent="0.25">
      <c r="A83" s="16" t="s">
        <v>41</v>
      </c>
      <c r="B83" s="17">
        <v>0.35</v>
      </c>
      <c r="C83" s="14">
        <v>0</v>
      </c>
      <c r="D83" s="15">
        <f>C83/B83</f>
        <v>0</v>
      </c>
    </row>
    <row r="84" spans="1:4" x14ac:dyDescent="0.25">
      <c r="A84" s="16" t="s">
        <v>110</v>
      </c>
      <c r="B84" s="17">
        <v>0.40699999999999997</v>
      </c>
      <c r="C84" s="14">
        <v>0</v>
      </c>
      <c r="D84" s="15">
        <f>C84/B84</f>
        <v>0</v>
      </c>
    </row>
    <row r="85" spans="1:4" x14ac:dyDescent="0.25">
      <c r="A85" s="16" t="s">
        <v>24</v>
      </c>
      <c r="B85" s="17">
        <v>0.42</v>
      </c>
      <c r="C85" s="14">
        <v>0</v>
      </c>
      <c r="D85" s="15">
        <f>C85/B85</f>
        <v>0</v>
      </c>
    </row>
    <row r="86" spans="1:4" x14ac:dyDescent="0.25">
      <c r="A86" s="16" t="s">
        <v>125</v>
      </c>
      <c r="B86" s="17">
        <v>0.434</v>
      </c>
      <c r="C86" s="14">
        <v>0</v>
      </c>
      <c r="D86" s="15">
        <f>C86/B86</f>
        <v>0</v>
      </c>
    </row>
    <row r="87" spans="1:4" x14ac:dyDescent="0.25">
      <c r="A87" s="16" t="s">
        <v>66</v>
      </c>
      <c r="B87" s="17">
        <v>0.81499999999999995</v>
      </c>
      <c r="C87" s="14">
        <v>0</v>
      </c>
      <c r="D87" s="15">
        <f>C87/B87</f>
        <v>0</v>
      </c>
    </row>
    <row r="88" spans="1:4" x14ac:dyDescent="0.25">
      <c r="A88" s="16" t="s">
        <v>33</v>
      </c>
      <c r="B88" s="17">
        <v>1.0680000000000001</v>
      </c>
      <c r="C88" s="14">
        <v>0</v>
      </c>
      <c r="D88" s="15">
        <f>C88/B88</f>
        <v>0</v>
      </c>
    </row>
    <row r="89" spans="1:4" x14ac:dyDescent="0.25">
      <c r="A89" s="16" t="s">
        <v>10</v>
      </c>
      <c r="B89" s="17">
        <v>1.5129999999999999</v>
      </c>
      <c r="C89" s="14">
        <v>0</v>
      </c>
      <c r="D89" s="15">
        <f>C89/B89</f>
        <v>0</v>
      </c>
    </row>
  </sheetData>
  <autoFilter ref="A2:D2" xr:uid="{C48DE63D-C8DD-4580-B829-3088203EA32E}">
    <sortState xmlns:xlrd2="http://schemas.microsoft.com/office/spreadsheetml/2017/richdata2" ref="A3:D89">
      <sortCondition descending="1" ref="D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C8817-C3D1-4AFA-8A69-7B39FAC9B3B3}">
  <dimension ref="A1:D51"/>
  <sheetViews>
    <sheetView workbookViewId="0"/>
  </sheetViews>
  <sheetFormatPr defaultRowHeight="15" x14ac:dyDescent="0.25"/>
  <cols>
    <col min="1" max="1" width="25.7109375" style="3" customWidth="1"/>
    <col min="2" max="3" width="10.7109375" style="7" customWidth="1"/>
    <col min="4" max="4" width="10.7109375" style="3" customWidth="1"/>
    <col min="5" max="16384" width="9.140625" style="3"/>
  </cols>
  <sheetData>
    <row r="1" spans="1:4" ht="21" x14ac:dyDescent="0.35">
      <c r="A1" s="23" t="s">
        <v>261</v>
      </c>
    </row>
    <row r="2" spans="1:4" x14ac:dyDescent="0.25">
      <c r="A2" s="5" t="s">
        <v>0</v>
      </c>
      <c r="B2" s="6" t="s">
        <v>1</v>
      </c>
      <c r="C2" s="6" t="s">
        <v>2</v>
      </c>
      <c r="D2" s="5" t="s">
        <v>3</v>
      </c>
    </row>
    <row r="3" spans="1:4" x14ac:dyDescent="0.25">
      <c r="A3" s="16" t="s">
        <v>90</v>
      </c>
      <c r="B3" s="17">
        <v>18.273</v>
      </c>
      <c r="C3" s="14">
        <v>29.007999999999999</v>
      </c>
      <c r="D3" s="15">
        <f>C3/B3</f>
        <v>1.5874787938488479</v>
      </c>
    </row>
    <row r="4" spans="1:4" x14ac:dyDescent="0.25">
      <c r="A4" s="16" t="s">
        <v>127</v>
      </c>
      <c r="B4" s="17">
        <v>4.9800000000000004</v>
      </c>
      <c r="C4" s="14">
        <v>6.6260000000000003</v>
      </c>
      <c r="D4" s="15">
        <f>C4/B4</f>
        <v>1.3305220883534137</v>
      </c>
    </row>
    <row r="5" spans="1:4" x14ac:dyDescent="0.25">
      <c r="A5" s="16" t="s">
        <v>61</v>
      </c>
      <c r="B5" s="17">
        <v>8.8650000000000002</v>
      </c>
      <c r="C5" s="14">
        <v>10.047000000000001</v>
      </c>
      <c r="D5" s="15">
        <f>C5/B5</f>
        <v>1.1333333333333333</v>
      </c>
    </row>
    <row r="6" spans="1:4" x14ac:dyDescent="0.25">
      <c r="A6" s="16" t="s">
        <v>64</v>
      </c>
      <c r="B6" s="17">
        <v>3.5000000000000003E-2</v>
      </c>
      <c r="C6" s="14">
        <v>3.5000000000000003E-2</v>
      </c>
      <c r="D6" s="15">
        <f>C6/B6</f>
        <v>1</v>
      </c>
    </row>
    <row r="7" spans="1:4" x14ac:dyDescent="0.25">
      <c r="A7" s="16" t="s">
        <v>13</v>
      </c>
      <c r="B7" s="17">
        <v>0.24199999999999999</v>
      </c>
      <c r="C7" s="14">
        <v>0.24199999999999999</v>
      </c>
      <c r="D7" s="15">
        <f>C7/B7</f>
        <v>1</v>
      </c>
    </row>
    <row r="8" spans="1:4" x14ac:dyDescent="0.25">
      <c r="A8" s="16" t="s">
        <v>149</v>
      </c>
      <c r="B8" s="17">
        <v>0.24199999999999999</v>
      </c>
      <c r="C8" s="14">
        <v>0.24199999999999999</v>
      </c>
      <c r="D8" s="15">
        <f>C8/B8</f>
        <v>1</v>
      </c>
    </row>
    <row r="9" spans="1:4" x14ac:dyDescent="0.25">
      <c r="A9" s="16" t="s">
        <v>115</v>
      </c>
      <c r="B9" s="17">
        <v>0.24199999999999999</v>
      </c>
      <c r="C9" s="14">
        <v>0.24199999999999999</v>
      </c>
      <c r="D9" s="15">
        <f>C9/B9</f>
        <v>1</v>
      </c>
    </row>
    <row r="10" spans="1:4" x14ac:dyDescent="0.25">
      <c r="A10" s="16" t="s">
        <v>24</v>
      </c>
      <c r="B10" s="17">
        <v>0.34300000000000003</v>
      </c>
      <c r="C10" s="14">
        <v>0.34300000000000003</v>
      </c>
      <c r="D10" s="15">
        <f>C10/B10</f>
        <v>1</v>
      </c>
    </row>
    <row r="11" spans="1:4" x14ac:dyDescent="0.25">
      <c r="A11" s="16" t="s">
        <v>10</v>
      </c>
      <c r="B11" s="17">
        <v>0.35</v>
      </c>
      <c r="C11" s="14">
        <v>0.35</v>
      </c>
      <c r="D11" s="15">
        <f>C11/B11</f>
        <v>1</v>
      </c>
    </row>
    <row r="12" spans="1:4" x14ac:dyDescent="0.25">
      <c r="A12" s="16" t="s">
        <v>96</v>
      </c>
      <c r="B12" s="17">
        <v>0.48399999999999999</v>
      </c>
      <c r="C12" s="14">
        <v>0.48399999999999999</v>
      </c>
      <c r="D12" s="15">
        <f>C12/B12</f>
        <v>1</v>
      </c>
    </row>
    <row r="13" spans="1:4" x14ac:dyDescent="0.25">
      <c r="A13" s="16" t="s">
        <v>30</v>
      </c>
      <c r="B13" s="17">
        <v>0.55000000000000004</v>
      </c>
      <c r="C13" s="14">
        <v>0.55000000000000004</v>
      </c>
      <c r="D13" s="15">
        <f>C13/B13</f>
        <v>1</v>
      </c>
    </row>
    <row r="14" spans="1:4" x14ac:dyDescent="0.25">
      <c r="A14" s="16" t="s">
        <v>19</v>
      </c>
      <c r="B14" s="17">
        <v>1.105</v>
      </c>
      <c r="C14" s="14">
        <v>1.105</v>
      </c>
      <c r="D14" s="15">
        <f>C14/B14</f>
        <v>1</v>
      </c>
    </row>
    <row r="15" spans="1:4" x14ac:dyDescent="0.25">
      <c r="A15" s="16" t="s">
        <v>15</v>
      </c>
      <c r="B15" s="17">
        <v>1.2370000000000001</v>
      </c>
      <c r="C15" s="14">
        <v>1.2370000000000001</v>
      </c>
      <c r="D15" s="15">
        <f>C15/B15</f>
        <v>1</v>
      </c>
    </row>
    <row r="16" spans="1:4" x14ac:dyDescent="0.25">
      <c r="A16" s="16" t="s">
        <v>18</v>
      </c>
      <c r="B16" s="17">
        <v>1.2370000000000001</v>
      </c>
      <c r="C16" s="14">
        <v>1.2370000000000001</v>
      </c>
      <c r="D16" s="15">
        <f>C16/B16</f>
        <v>1</v>
      </c>
    </row>
    <row r="17" spans="1:4" x14ac:dyDescent="0.25">
      <c r="A17" s="16" t="s">
        <v>11</v>
      </c>
      <c r="B17" s="17">
        <v>8.86</v>
      </c>
      <c r="C17" s="14">
        <v>8.86</v>
      </c>
      <c r="D17" s="15">
        <f>C17/B17</f>
        <v>1</v>
      </c>
    </row>
    <row r="18" spans="1:4" x14ac:dyDescent="0.25">
      <c r="A18" s="16" t="s">
        <v>109</v>
      </c>
      <c r="B18" s="17">
        <v>15.441000000000001</v>
      </c>
      <c r="C18" s="14">
        <v>12</v>
      </c>
      <c r="D18" s="15">
        <f>C18/B18</f>
        <v>0.77715173887701572</v>
      </c>
    </row>
    <row r="19" spans="1:4" x14ac:dyDescent="0.25">
      <c r="A19" s="16" t="s">
        <v>39</v>
      </c>
      <c r="B19" s="17">
        <v>3.907</v>
      </c>
      <c r="C19" s="14">
        <v>2.3210000000000002</v>
      </c>
      <c r="D19" s="15">
        <f>C19/B19</f>
        <v>0.59406194010749935</v>
      </c>
    </row>
    <row r="20" spans="1:4" x14ac:dyDescent="0.25">
      <c r="A20" s="16" t="s">
        <v>14</v>
      </c>
      <c r="B20" s="17">
        <v>8.2379999999999995</v>
      </c>
      <c r="C20" s="14">
        <v>4.8040000000000003</v>
      </c>
      <c r="D20" s="15">
        <f>C20/B20</f>
        <v>0.58315125030347181</v>
      </c>
    </row>
    <row r="21" spans="1:4" x14ac:dyDescent="0.25">
      <c r="A21" s="16" t="s">
        <v>45</v>
      </c>
      <c r="B21" s="17">
        <v>1.819</v>
      </c>
      <c r="C21" s="14">
        <v>1.0369999999999999</v>
      </c>
      <c r="D21" s="15">
        <f>C21/B21</f>
        <v>0.57009345794392519</v>
      </c>
    </row>
    <row r="22" spans="1:4" x14ac:dyDescent="0.25">
      <c r="A22" s="16" t="s">
        <v>38</v>
      </c>
      <c r="B22" s="17">
        <v>9.2490000000000006</v>
      </c>
      <c r="C22" s="14">
        <v>5.1479999999999997</v>
      </c>
      <c r="D22" s="15">
        <f>C22/B22</f>
        <v>0.55660071359065844</v>
      </c>
    </row>
    <row r="23" spans="1:4" x14ac:dyDescent="0.25">
      <c r="A23" s="16" t="s">
        <v>92</v>
      </c>
      <c r="B23" s="17">
        <v>0.622</v>
      </c>
      <c r="C23" s="14">
        <v>0.34300000000000003</v>
      </c>
      <c r="D23" s="15">
        <f>C23/B23</f>
        <v>0.55144694533762062</v>
      </c>
    </row>
    <row r="24" spans="1:4" x14ac:dyDescent="0.25">
      <c r="A24" s="16" t="s">
        <v>105</v>
      </c>
      <c r="B24" s="17">
        <v>0.95399999999999996</v>
      </c>
      <c r="C24" s="14">
        <v>0.51800000000000002</v>
      </c>
      <c r="D24" s="15">
        <f>C24/B24</f>
        <v>0.54297693920335433</v>
      </c>
    </row>
    <row r="25" spans="1:4" x14ac:dyDescent="0.25">
      <c r="A25" s="16" t="s">
        <v>28</v>
      </c>
      <c r="B25" s="17">
        <v>3.8109999999999999</v>
      </c>
      <c r="C25" s="14">
        <v>1.99</v>
      </c>
      <c r="D25" s="15">
        <f>C25/B25</f>
        <v>0.52217265809498825</v>
      </c>
    </row>
    <row r="26" spans="1:4" x14ac:dyDescent="0.25">
      <c r="A26" s="16" t="s">
        <v>8</v>
      </c>
      <c r="B26" s="17">
        <v>9.0860000000000003</v>
      </c>
      <c r="C26" s="14">
        <v>4.3010000000000002</v>
      </c>
      <c r="D26" s="15">
        <f>C26/B26</f>
        <v>0.47336561743341404</v>
      </c>
    </row>
    <row r="27" spans="1:4" x14ac:dyDescent="0.25">
      <c r="A27" s="16" t="s">
        <v>36</v>
      </c>
      <c r="B27" s="17">
        <v>2.2730000000000001</v>
      </c>
      <c r="C27" s="14">
        <v>1.0369999999999999</v>
      </c>
      <c r="D27" s="15">
        <f>C27/B27</f>
        <v>0.45622525296964356</v>
      </c>
    </row>
    <row r="28" spans="1:4" x14ac:dyDescent="0.25">
      <c r="A28" s="16" t="s">
        <v>9</v>
      </c>
      <c r="B28" s="17">
        <v>4.1230000000000002</v>
      </c>
      <c r="C28" s="14">
        <v>1.7090000000000001</v>
      </c>
      <c r="D28" s="15">
        <f>C28/B28</f>
        <v>0.41450400194033471</v>
      </c>
    </row>
    <row r="29" spans="1:4" x14ac:dyDescent="0.25">
      <c r="A29" s="16" t="s">
        <v>103</v>
      </c>
      <c r="B29" s="17">
        <v>1.887</v>
      </c>
      <c r="C29" s="14">
        <v>0.73599999999999999</v>
      </c>
      <c r="D29" s="15">
        <f>C29/B29</f>
        <v>0.39003709591944885</v>
      </c>
    </row>
    <row r="30" spans="1:4" x14ac:dyDescent="0.25">
      <c r="A30" s="16" t="s">
        <v>95</v>
      </c>
      <c r="B30" s="17">
        <v>4.2169999999999996</v>
      </c>
      <c r="C30" s="14">
        <v>1.5620000000000001</v>
      </c>
      <c r="D30" s="15">
        <f>C30/B30</f>
        <v>0.37040550154138019</v>
      </c>
    </row>
    <row r="31" spans="1:4" x14ac:dyDescent="0.25">
      <c r="A31" s="16" t="s">
        <v>33</v>
      </c>
      <c r="B31" s="17">
        <v>1.839</v>
      </c>
      <c r="C31" s="14">
        <v>0.54800000000000004</v>
      </c>
      <c r="D31" s="15">
        <f>C31/B31</f>
        <v>0.29798803697661774</v>
      </c>
    </row>
    <row r="32" spans="1:4" x14ac:dyDescent="0.25">
      <c r="A32" s="16" t="s">
        <v>88</v>
      </c>
      <c r="B32" s="17">
        <v>7.359</v>
      </c>
      <c r="C32" s="14">
        <v>1.633</v>
      </c>
      <c r="D32" s="15">
        <f>C32/B32</f>
        <v>0.22190515015627124</v>
      </c>
    </row>
    <row r="33" spans="1:4" x14ac:dyDescent="0.25">
      <c r="A33" s="16" t="s">
        <v>22</v>
      </c>
      <c r="B33" s="17">
        <v>3.7919999999999998</v>
      </c>
      <c r="C33" s="14">
        <v>0.73599999999999999</v>
      </c>
      <c r="D33" s="15">
        <f>C33/B33</f>
        <v>0.19409282700421943</v>
      </c>
    </row>
    <row r="34" spans="1:4" x14ac:dyDescent="0.25">
      <c r="A34" s="16" t="s">
        <v>71</v>
      </c>
      <c r="B34" s="17">
        <v>4.1210000000000004</v>
      </c>
      <c r="C34" s="14">
        <v>0.79700000000000004</v>
      </c>
      <c r="D34" s="15">
        <f>C34/B34</f>
        <v>0.19339966027663189</v>
      </c>
    </row>
    <row r="35" spans="1:4" x14ac:dyDescent="0.25">
      <c r="A35" s="16" t="s">
        <v>42</v>
      </c>
      <c r="B35" s="17">
        <v>1.784</v>
      </c>
      <c r="C35" s="14">
        <v>0.27900000000000003</v>
      </c>
      <c r="D35" s="15">
        <f>C35/B35</f>
        <v>0.15639013452914799</v>
      </c>
    </row>
    <row r="36" spans="1:4" x14ac:dyDescent="0.25">
      <c r="A36" s="16" t="s">
        <v>81</v>
      </c>
      <c r="B36" s="17">
        <v>3.9390000000000001</v>
      </c>
      <c r="C36" s="14">
        <v>0.13400000000000001</v>
      </c>
      <c r="D36" s="15">
        <f>C36/B36</f>
        <v>3.4018786494034017E-2</v>
      </c>
    </row>
    <row r="37" spans="1:4" x14ac:dyDescent="0.25">
      <c r="A37" s="16" t="s">
        <v>110</v>
      </c>
      <c r="B37" s="17">
        <v>0.32600000000000001</v>
      </c>
      <c r="C37" s="14">
        <v>0</v>
      </c>
      <c r="D37" s="15">
        <f>C37/B37</f>
        <v>0</v>
      </c>
    </row>
    <row r="38" spans="1:4" x14ac:dyDescent="0.25">
      <c r="A38" s="16" t="s">
        <v>97</v>
      </c>
      <c r="B38" s="17">
        <v>0.34300000000000003</v>
      </c>
      <c r="C38" s="14">
        <v>0</v>
      </c>
      <c r="D38" s="15">
        <f>C38/B38</f>
        <v>0</v>
      </c>
    </row>
    <row r="39" spans="1:4" x14ac:dyDescent="0.25">
      <c r="A39" s="16" t="s">
        <v>16</v>
      </c>
      <c r="B39" s="17">
        <v>0.35</v>
      </c>
      <c r="C39" s="14">
        <v>0</v>
      </c>
      <c r="D39" s="15">
        <f>C39/B39</f>
        <v>0</v>
      </c>
    </row>
    <row r="40" spans="1:4" x14ac:dyDescent="0.25">
      <c r="A40" s="16" t="s">
        <v>104</v>
      </c>
      <c r="B40" s="17">
        <v>0.38900000000000001</v>
      </c>
      <c r="C40" s="14">
        <v>0</v>
      </c>
      <c r="D40" s="15">
        <f>C40/B40</f>
        <v>0</v>
      </c>
    </row>
    <row r="41" spans="1:4" x14ac:dyDescent="0.25">
      <c r="A41" s="16" t="s">
        <v>44</v>
      </c>
      <c r="B41" s="17">
        <v>0.47699999999999998</v>
      </c>
      <c r="C41" s="14">
        <v>0</v>
      </c>
      <c r="D41" s="15">
        <f>C41/B41</f>
        <v>0</v>
      </c>
    </row>
    <row r="42" spans="1:4" x14ac:dyDescent="0.25">
      <c r="A42" s="16" t="s">
        <v>59</v>
      </c>
      <c r="B42" s="17">
        <v>0.51800000000000002</v>
      </c>
      <c r="C42" s="14">
        <v>0</v>
      </c>
      <c r="D42" s="15">
        <f>C42/B42</f>
        <v>0</v>
      </c>
    </row>
    <row r="43" spans="1:4" x14ac:dyDescent="0.25">
      <c r="A43" s="16" t="s">
        <v>52</v>
      </c>
      <c r="B43" s="17">
        <v>0.58699999999999997</v>
      </c>
      <c r="C43" s="14">
        <v>0</v>
      </c>
      <c r="D43" s="15">
        <f>C43/B43</f>
        <v>0</v>
      </c>
    </row>
    <row r="44" spans="1:4" x14ac:dyDescent="0.25">
      <c r="A44" s="16" t="s">
        <v>114</v>
      </c>
      <c r="B44" s="17">
        <v>0.628</v>
      </c>
      <c r="C44" s="14">
        <v>0</v>
      </c>
      <c r="D44" s="15">
        <f>C44/B44</f>
        <v>0</v>
      </c>
    </row>
    <row r="45" spans="1:4" x14ac:dyDescent="0.25">
      <c r="A45" s="16" t="s">
        <v>89</v>
      </c>
      <c r="B45" s="17">
        <v>0.71799999999999997</v>
      </c>
      <c r="C45" s="14">
        <v>0</v>
      </c>
      <c r="D45" s="15">
        <f>C45/B45</f>
        <v>0</v>
      </c>
    </row>
    <row r="46" spans="1:4" x14ac:dyDescent="0.25">
      <c r="A46" s="16" t="s">
        <v>121</v>
      </c>
      <c r="B46" s="17">
        <v>0.71799999999999997</v>
      </c>
      <c r="C46" s="14">
        <v>0</v>
      </c>
      <c r="D46" s="15">
        <f>C46/B46</f>
        <v>0</v>
      </c>
    </row>
    <row r="47" spans="1:4" x14ac:dyDescent="0.25">
      <c r="A47" s="16" t="s">
        <v>66</v>
      </c>
      <c r="B47" s="17">
        <v>0.74199999999999999</v>
      </c>
      <c r="C47" s="14">
        <v>0</v>
      </c>
      <c r="D47" s="15">
        <f>C47/B47</f>
        <v>0</v>
      </c>
    </row>
    <row r="48" spans="1:4" x14ac:dyDescent="0.25">
      <c r="A48" s="16" t="s">
        <v>79</v>
      </c>
      <c r="B48" s="17">
        <v>1.5169999999999999</v>
      </c>
      <c r="C48" s="14">
        <v>0</v>
      </c>
      <c r="D48" s="15">
        <f>C48/B48</f>
        <v>0</v>
      </c>
    </row>
    <row r="49" spans="1:4" x14ac:dyDescent="0.25">
      <c r="A49" s="16" t="s">
        <v>65</v>
      </c>
      <c r="B49" s="17">
        <v>1.6910000000000001</v>
      </c>
      <c r="C49" s="14">
        <v>0</v>
      </c>
      <c r="D49" s="15">
        <f>C49/B49</f>
        <v>0</v>
      </c>
    </row>
    <row r="50" spans="1:4" x14ac:dyDescent="0.25">
      <c r="A50" s="16" t="s">
        <v>120</v>
      </c>
      <c r="B50" s="17">
        <v>3.4590000000000001</v>
      </c>
      <c r="C50" s="14">
        <v>0</v>
      </c>
      <c r="D50" s="15">
        <f>C50/B50</f>
        <v>0</v>
      </c>
    </row>
    <row r="51" spans="1:4" x14ac:dyDescent="0.25">
      <c r="A51" s="16" t="s">
        <v>108</v>
      </c>
      <c r="B51" s="17">
        <v>4.9800000000000004</v>
      </c>
      <c r="C51" s="14">
        <v>0</v>
      </c>
      <c r="D51" s="15">
        <f>C51/B51</f>
        <v>0</v>
      </c>
    </row>
  </sheetData>
  <autoFilter ref="A2:D2" xr:uid="{38EC8817-C3D1-4AFA-8A69-7B39FAC9B3B3}">
    <sortState xmlns:xlrd2="http://schemas.microsoft.com/office/spreadsheetml/2017/richdata2" ref="A3:D51">
      <sortCondition descending="1" ref="D2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6929F-A73B-4CDF-8E63-3636C7BDAA94}">
  <dimension ref="A1:D147"/>
  <sheetViews>
    <sheetView workbookViewId="0"/>
  </sheetViews>
  <sheetFormatPr defaultRowHeight="15" customHeight="1" x14ac:dyDescent="0.25"/>
  <cols>
    <col min="1" max="1" width="25.7109375" style="4" customWidth="1"/>
    <col min="2" max="3" width="10.7109375" style="12" customWidth="1"/>
    <col min="4" max="4" width="10.7109375" style="4" customWidth="1"/>
    <col min="5" max="16384" width="9.140625" style="3"/>
  </cols>
  <sheetData>
    <row r="1" spans="1:4" ht="21" x14ac:dyDescent="0.35">
      <c r="A1" s="23" t="s">
        <v>260</v>
      </c>
    </row>
    <row r="2" spans="1:4" ht="15" customHeight="1" x14ac:dyDescent="0.25">
      <c r="A2" s="2" t="s">
        <v>0</v>
      </c>
      <c r="B2" s="10" t="s">
        <v>1</v>
      </c>
      <c r="C2" s="10" t="s">
        <v>2</v>
      </c>
      <c r="D2" s="2" t="s">
        <v>3</v>
      </c>
    </row>
    <row r="3" spans="1:4" ht="15" customHeight="1" x14ac:dyDescent="0.25">
      <c r="A3" s="16" t="s">
        <v>122</v>
      </c>
      <c r="B3" s="17">
        <v>0.40899999999999997</v>
      </c>
      <c r="C3" s="11">
        <v>0.20499999999999999</v>
      </c>
      <c r="D3" s="13">
        <f>C3/B3</f>
        <v>0.5012224938875306</v>
      </c>
    </row>
    <row r="4" spans="1:4" ht="15" customHeight="1" x14ac:dyDescent="0.25">
      <c r="A4" s="16" t="s">
        <v>132</v>
      </c>
      <c r="B4" s="17">
        <v>0.254</v>
      </c>
      <c r="C4" s="11">
        <v>0.126</v>
      </c>
      <c r="D4" s="13">
        <f>C4/B4</f>
        <v>0.49606299212598426</v>
      </c>
    </row>
    <row r="5" spans="1:4" ht="15" customHeight="1" x14ac:dyDescent="0.25">
      <c r="A5" s="16" t="s">
        <v>108</v>
      </c>
      <c r="B5" s="17">
        <v>0.62</v>
      </c>
      <c r="C5" s="11">
        <v>0.28399999999999997</v>
      </c>
      <c r="D5" s="13">
        <f>C5/B5</f>
        <v>0.45806451612903221</v>
      </c>
    </row>
    <row r="6" spans="1:4" ht="15" customHeight="1" x14ac:dyDescent="0.25">
      <c r="A6" s="16" t="s">
        <v>121</v>
      </c>
      <c r="B6" s="17">
        <v>0.41599999999999998</v>
      </c>
      <c r="C6" s="11">
        <v>0.189</v>
      </c>
      <c r="D6" s="13">
        <f>C6/B6</f>
        <v>0.45432692307692313</v>
      </c>
    </row>
    <row r="7" spans="1:4" ht="15" customHeight="1" x14ac:dyDescent="0.25">
      <c r="A7" s="16" t="s">
        <v>42</v>
      </c>
      <c r="B7" s="17">
        <v>3.9449999999999998</v>
      </c>
      <c r="C7" s="11">
        <v>1.696</v>
      </c>
      <c r="D7" s="13">
        <f>C7/B7</f>
        <v>0.42991128010139418</v>
      </c>
    </row>
    <row r="8" spans="1:4" ht="15" customHeight="1" x14ac:dyDescent="0.25">
      <c r="A8" s="16" t="s">
        <v>127</v>
      </c>
      <c r="B8" s="17">
        <v>0.32</v>
      </c>
      <c r="C8" s="11">
        <v>0.13400000000000001</v>
      </c>
      <c r="D8" s="13">
        <f>C8/B8</f>
        <v>0.41875000000000001</v>
      </c>
    </row>
    <row r="9" spans="1:4" ht="15" customHeight="1" x14ac:dyDescent="0.25">
      <c r="A9" s="16" t="s">
        <v>48</v>
      </c>
      <c r="B9" s="17">
        <v>3.073</v>
      </c>
      <c r="C9" s="11">
        <v>1.2050000000000001</v>
      </c>
      <c r="D9" s="13">
        <f>C9/B9</f>
        <v>0.39212495932313701</v>
      </c>
    </row>
    <row r="10" spans="1:4" ht="15" customHeight="1" x14ac:dyDescent="0.25">
      <c r="A10" s="16" t="s">
        <v>72</v>
      </c>
      <c r="B10" s="17">
        <v>1.6160000000000001</v>
      </c>
      <c r="C10" s="11">
        <v>0.59099999999999997</v>
      </c>
      <c r="D10" s="13">
        <f>C10/B10</f>
        <v>0.36571782178217815</v>
      </c>
    </row>
    <row r="11" spans="1:4" ht="15" customHeight="1" x14ac:dyDescent="0.25">
      <c r="A11" s="16" t="s">
        <v>83</v>
      </c>
      <c r="B11" s="17">
        <v>1.208</v>
      </c>
      <c r="C11" s="11">
        <v>0.42599999999999999</v>
      </c>
      <c r="D11" s="13">
        <f>C11/B11</f>
        <v>0.35264900662251658</v>
      </c>
    </row>
    <row r="12" spans="1:4" ht="15" customHeight="1" x14ac:dyDescent="0.25">
      <c r="A12" s="16" t="s">
        <v>109</v>
      </c>
      <c r="B12" s="17">
        <v>0.57499999999999996</v>
      </c>
      <c r="C12" s="11">
        <v>0.20100000000000001</v>
      </c>
      <c r="D12" s="13">
        <f>C12/B12</f>
        <v>0.34956521739130442</v>
      </c>
    </row>
    <row r="13" spans="1:4" ht="15" customHeight="1" x14ac:dyDescent="0.25">
      <c r="A13" s="16" t="s">
        <v>128</v>
      </c>
      <c r="B13" s="17">
        <v>0.30399999999999999</v>
      </c>
      <c r="C13" s="11">
        <v>0.10299999999999999</v>
      </c>
      <c r="D13" s="13">
        <f>C13/B13</f>
        <v>0.33881578947368418</v>
      </c>
    </row>
    <row r="14" spans="1:4" ht="15" customHeight="1" x14ac:dyDescent="0.25">
      <c r="A14" s="16" t="s">
        <v>120</v>
      </c>
      <c r="B14" s="17">
        <v>0.42499999999999999</v>
      </c>
      <c r="C14" s="11">
        <v>0.13900000000000001</v>
      </c>
      <c r="D14" s="13">
        <f>C14/B14</f>
        <v>0.32705882352941179</v>
      </c>
    </row>
    <row r="15" spans="1:4" ht="15" customHeight="1" x14ac:dyDescent="0.25">
      <c r="A15" s="16" t="s">
        <v>137</v>
      </c>
      <c r="B15" s="17">
        <v>0.17100000000000001</v>
      </c>
      <c r="C15" s="11">
        <v>5.1999999999999998E-2</v>
      </c>
      <c r="D15" s="13">
        <f>C15/B15</f>
        <v>0.30409356725146197</v>
      </c>
    </row>
    <row r="16" spans="1:4" ht="15" customHeight="1" x14ac:dyDescent="0.25">
      <c r="A16" s="16" t="s">
        <v>86</v>
      </c>
      <c r="B16" s="17">
        <v>1.1299999999999999</v>
      </c>
      <c r="C16" s="11">
        <v>0.34200000000000003</v>
      </c>
      <c r="D16" s="13">
        <f>C16/B16</f>
        <v>0.30265486725663721</v>
      </c>
    </row>
    <row r="17" spans="1:4" ht="15" customHeight="1" x14ac:dyDescent="0.25">
      <c r="A17" s="16" t="s">
        <v>25</v>
      </c>
      <c r="B17" s="17">
        <v>6.6269999999999998</v>
      </c>
      <c r="C17" s="11">
        <v>1.9770000000000001</v>
      </c>
      <c r="D17" s="13">
        <f>C17/B17</f>
        <v>0.29832503395201448</v>
      </c>
    </row>
    <row r="18" spans="1:4" ht="15" customHeight="1" x14ac:dyDescent="0.25">
      <c r="A18" s="16" t="s">
        <v>100</v>
      </c>
      <c r="B18" s="17">
        <v>0.76500000000000001</v>
      </c>
      <c r="C18" s="11">
        <v>0.224</v>
      </c>
      <c r="D18" s="13">
        <f>C18/B18</f>
        <v>0.29281045751633988</v>
      </c>
    </row>
    <row r="19" spans="1:4" ht="15" customHeight="1" x14ac:dyDescent="0.25">
      <c r="A19" s="16" t="s">
        <v>112</v>
      </c>
      <c r="B19" s="17">
        <v>0.52800000000000002</v>
      </c>
      <c r="C19" s="11">
        <v>0.154</v>
      </c>
      <c r="D19" s="13">
        <f>C19/B19</f>
        <v>0.29166666666666663</v>
      </c>
    </row>
    <row r="20" spans="1:4" ht="15" customHeight="1" x14ac:dyDescent="0.25">
      <c r="A20" s="16" t="s">
        <v>106</v>
      </c>
      <c r="B20" s="17">
        <v>0.64900000000000002</v>
      </c>
      <c r="C20" s="11">
        <v>0.189</v>
      </c>
      <c r="D20" s="13">
        <f>C20/B20</f>
        <v>0.29121725731895221</v>
      </c>
    </row>
    <row r="21" spans="1:4" ht="15" customHeight="1" x14ac:dyDescent="0.25">
      <c r="A21" s="16" t="s">
        <v>115</v>
      </c>
      <c r="B21" s="17">
        <v>0.47199999999999998</v>
      </c>
      <c r="C21" s="11">
        <v>0.13200000000000001</v>
      </c>
      <c r="D21" s="13">
        <f>C21/B21</f>
        <v>0.27966101694915257</v>
      </c>
    </row>
    <row r="22" spans="1:4" ht="15" customHeight="1" x14ac:dyDescent="0.25">
      <c r="A22" s="16" t="s">
        <v>134</v>
      </c>
      <c r="B22" s="17">
        <v>0.22800000000000001</v>
      </c>
      <c r="C22" s="11">
        <v>6.2E-2</v>
      </c>
      <c r="D22" s="13">
        <f>C22/B22</f>
        <v>0.27192982456140352</v>
      </c>
    </row>
    <row r="23" spans="1:4" ht="15" customHeight="1" x14ac:dyDescent="0.25">
      <c r="A23" s="16" t="s">
        <v>98</v>
      </c>
      <c r="B23" s="17">
        <v>0.80100000000000005</v>
      </c>
      <c r="C23" s="11">
        <v>0.21299999999999999</v>
      </c>
      <c r="D23" s="13">
        <f>C23/B23</f>
        <v>0.26591760299625467</v>
      </c>
    </row>
    <row r="24" spans="1:4" ht="15" customHeight="1" x14ac:dyDescent="0.25">
      <c r="A24" s="16" t="s">
        <v>57</v>
      </c>
      <c r="B24" s="17">
        <v>2.2589999999999999</v>
      </c>
      <c r="C24" s="11">
        <v>0.59099999999999997</v>
      </c>
      <c r="D24" s="13">
        <f>C24/B24</f>
        <v>0.26162018592297476</v>
      </c>
    </row>
    <row r="25" spans="1:4" ht="15" customHeight="1" x14ac:dyDescent="0.25">
      <c r="A25" s="16" t="s">
        <v>135</v>
      </c>
      <c r="B25" s="17">
        <v>0.20100000000000001</v>
      </c>
      <c r="C25" s="11">
        <v>5.1999999999999998E-2</v>
      </c>
      <c r="D25" s="13">
        <f>C25/B25</f>
        <v>0.25870646766169153</v>
      </c>
    </row>
    <row r="26" spans="1:4" ht="15" customHeight="1" x14ac:dyDescent="0.25">
      <c r="A26" s="16" t="s">
        <v>118</v>
      </c>
      <c r="B26" s="17">
        <v>0.45700000000000002</v>
      </c>
      <c r="C26" s="11">
        <v>0.11600000000000001</v>
      </c>
      <c r="D26" s="13">
        <f>C26/B26</f>
        <v>0.25382932166301969</v>
      </c>
    </row>
    <row r="27" spans="1:4" ht="15" customHeight="1" x14ac:dyDescent="0.25">
      <c r="A27" s="16" t="s">
        <v>76</v>
      </c>
      <c r="B27" s="17">
        <v>1.5</v>
      </c>
      <c r="C27" s="11">
        <v>0.373</v>
      </c>
      <c r="D27" s="13">
        <f>C27/B27</f>
        <v>0.24866666666666667</v>
      </c>
    </row>
    <row r="28" spans="1:4" ht="15" customHeight="1" x14ac:dyDescent="0.25">
      <c r="A28" s="16" t="s">
        <v>5</v>
      </c>
      <c r="B28" s="17">
        <v>20.626999999999999</v>
      </c>
      <c r="C28" s="11">
        <v>4.8129999999999997</v>
      </c>
      <c r="D28" s="13">
        <f>C28/B28</f>
        <v>0.233334949338246</v>
      </c>
    </row>
    <row r="29" spans="1:4" ht="15" customHeight="1" x14ac:dyDescent="0.25">
      <c r="A29" s="16" t="s">
        <v>93</v>
      </c>
      <c r="B29" s="17">
        <v>0.92800000000000005</v>
      </c>
      <c r="C29" s="11">
        <v>0.215</v>
      </c>
      <c r="D29" s="13">
        <f>C29/B29</f>
        <v>0.23168103448275862</v>
      </c>
    </row>
    <row r="30" spans="1:4" ht="15" customHeight="1" x14ac:dyDescent="0.25">
      <c r="A30" s="16" t="s">
        <v>50</v>
      </c>
      <c r="B30" s="17">
        <v>2.9609999999999999</v>
      </c>
      <c r="C30" s="11">
        <v>0.67600000000000005</v>
      </c>
      <c r="D30" s="13">
        <f>C30/B30</f>
        <v>0.22830124957784534</v>
      </c>
    </row>
    <row r="31" spans="1:4" ht="15" customHeight="1" x14ac:dyDescent="0.25">
      <c r="A31" s="16" t="s">
        <v>26</v>
      </c>
      <c r="B31" s="17">
        <v>6.3869999999999996</v>
      </c>
      <c r="C31" s="11">
        <v>1.417</v>
      </c>
      <c r="D31" s="13">
        <f>C31/B31</f>
        <v>0.22185689682166904</v>
      </c>
    </row>
    <row r="32" spans="1:4" ht="15" customHeight="1" x14ac:dyDescent="0.25">
      <c r="A32" s="16" t="s">
        <v>75</v>
      </c>
      <c r="B32" s="17">
        <v>1.5249999999999999</v>
      </c>
      <c r="C32" s="11">
        <v>0.33500000000000002</v>
      </c>
      <c r="D32" s="13">
        <f>C32/B32</f>
        <v>0.219672131147541</v>
      </c>
    </row>
    <row r="33" spans="1:4" ht="15" customHeight="1" x14ac:dyDescent="0.25">
      <c r="A33" s="16" t="s">
        <v>32</v>
      </c>
      <c r="B33" s="17">
        <v>5.2709999999999999</v>
      </c>
      <c r="C33" s="11">
        <v>1.157</v>
      </c>
      <c r="D33" s="13">
        <f>C33/B33</f>
        <v>0.21950294061847847</v>
      </c>
    </row>
    <row r="34" spans="1:4" ht="15" customHeight="1" x14ac:dyDescent="0.25">
      <c r="A34" s="16" t="s">
        <v>36</v>
      </c>
      <c r="B34" s="17">
        <v>4.6260000000000003</v>
      </c>
      <c r="C34" s="11">
        <v>0.996</v>
      </c>
      <c r="D34" s="13">
        <f>C34/B34</f>
        <v>0.2153047989623865</v>
      </c>
    </row>
    <row r="35" spans="1:4" ht="15" customHeight="1" x14ac:dyDescent="0.25">
      <c r="A35" s="16" t="s">
        <v>6</v>
      </c>
      <c r="B35" s="17">
        <v>13.699</v>
      </c>
      <c r="C35" s="11">
        <v>2.9020000000000001</v>
      </c>
      <c r="D35" s="13">
        <f>C35/B35</f>
        <v>0.21184028031243157</v>
      </c>
    </row>
    <row r="36" spans="1:4" ht="15" customHeight="1" x14ac:dyDescent="0.25">
      <c r="A36" s="16" t="s">
        <v>77</v>
      </c>
      <c r="B36" s="17">
        <v>1.48</v>
      </c>
      <c r="C36" s="11">
        <v>0.313</v>
      </c>
      <c r="D36" s="13">
        <f>C36/B36</f>
        <v>0.21148648648648649</v>
      </c>
    </row>
    <row r="37" spans="1:4" ht="15" customHeight="1" x14ac:dyDescent="0.25">
      <c r="A37" s="16" t="s">
        <v>71</v>
      </c>
      <c r="B37" s="17">
        <v>1.627</v>
      </c>
      <c r="C37" s="11">
        <v>0.34399999999999997</v>
      </c>
      <c r="D37" s="13">
        <f>C37/B37</f>
        <v>0.21143208358942839</v>
      </c>
    </row>
    <row r="38" spans="1:4" ht="15" customHeight="1" x14ac:dyDescent="0.25">
      <c r="A38" s="16" t="s">
        <v>27</v>
      </c>
      <c r="B38" s="17">
        <v>6.0490000000000004</v>
      </c>
      <c r="C38" s="11">
        <v>1.2769999999999999</v>
      </c>
      <c r="D38" s="13">
        <f>C38/B38</f>
        <v>0.21110927426020829</v>
      </c>
    </row>
    <row r="39" spans="1:4" ht="15" customHeight="1" x14ac:dyDescent="0.25">
      <c r="A39" s="16" t="s">
        <v>4</v>
      </c>
      <c r="B39" s="17">
        <v>24.983000000000001</v>
      </c>
      <c r="C39" s="11">
        <v>5.0049999999999999</v>
      </c>
      <c r="D39" s="13">
        <f>C39/B39</f>
        <v>0.20033622863547212</v>
      </c>
    </row>
    <row r="40" spans="1:4" ht="15" customHeight="1" x14ac:dyDescent="0.25">
      <c r="A40" s="16" t="s">
        <v>74</v>
      </c>
      <c r="B40" s="17">
        <v>1.57</v>
      </c>
      <c r="C40" s="11">
        <v>0.311</v>
      </c>
      <c r="D40" s="13">
        <f>C40/B40</f>
        <v>0.19808917197452228</v>
      </c>
    </row>
    <row r="41" spans="1:4" ht="15" customHeight="1" x14ac:dyDescent="0.25">
      <c r="A41" s="16" t="s">
        <v>47</v>
      </c>
      <c r="B41" s="17">
        <v>3.097</v>
      </c>
      <c r="C41" s="11">
        <v>0.59799999999999998</v>
      </c>
      <c r="D41" s="13">
        <f>C41/B41</f>
        <v>0.19309008718114304</v>
      </c>
    </row>
    <row r="42" spans="1:4" ht="15" customHeight="1" x14ac:dyDescent="0.25">
      <c r="A42" s="16" t="s">
        <v>40</v>
      </c>
      <c r="B42" s="17">
        <v>4.1790000000000003</v>
      </c>
      <c r="C42" s="11">
        <v>0.78600000000000003</v>
      </c>
      <c r="D42" s="13">
        <f>C42/B42</f>
        <v>0.18808327351040918</v>
      </c>
    </row>
    <row r="43" spans="1:4" ht="15" customHeight="1" x14ac:dyDescent="0.25">
      <c r="A43" s="16" t="s">
        <v>8</v>
      </c>
      <c r="B43" s="17">
        <v>13.06</v>
      </c>
      <c r="C43" s="11">
        <v>2.4020000000000001</v>
      </c>
      <c r="D43" s="13">
        <f>C43/B43</f>
        <v>0.18392036753445637</v>
      </c>
    </row>
    <row r="44" spans="1:4" ht="15" customHeight="1" x14ac:dyDescent="0.25">
      <c r="A44" s="16" t="s">
        <v>44</v>
      </c>
      <c r="B44" s="17">
        <v>3.46</v>
      </c>
      <c r="C44" s="11">
        <v>0.629</v>
      </c>
      <c r="D44" s="13">
        <f>C44/B44</f>
        <v>0.18179190751445087</v>
      </c>
    </row>
    <row r="45" spans="1:4" ht="15" customHeight="1" x14ac:dyDescent="0.25">
      <c r="A45" s="16" t="s">
        <v>69</v>
      </c>
      <c r="B45" s="17">
        <v>1.7969999999999999</v>
      </c>
      <c r="C45" s="11">
        <v>0.317</v>
      </c>
      <c r="D45" s="13">
        <f>C45/B45</f>
        <v>0.17640511964385086</v>
      </c>
    </row>
    <row r="46" spans="1:4" ht="15" customHeight="1" x14ac:dyDescent="0.25">
      <c r="A46" s="16" t="s">
        <v>20</v>
      </c>
      <c r="B46" s="17">
        <v>7.6879999999999997</v>
      </c>
      <c r="C46" s="11">
        <v>1.3440000000000001</v>
      </c>
      <c r="D46" s="13">
        <f>C46/B46</f>
        <v>0.17481789802289283</v>
      </c>
    </row>
    <row r="47" spans="1:4" ht="15" customHeight="1" x14ac:dyDescent="0.25">
      <c r="A47" s="16" t="s">
        <v>9</v>
      </c>
      <c r="B47" s="17">
        <v>12.407999999999999</v>
      </c>
      <c r="C47" s="11">
        <v>2.1520000000000001</v>
      </c>
      <c r="D47" s="13">
        <f>C47/B47</f>
        <v>0.17343649258542879</v>
      </c>
    </row>
    <row r="48" spans="1:4" ht="15" customHeight="1" x14ac:dyDescent="0.25">
      <c r="A48" s="16" t="s">
        <v>90</v>
      </c>
      <c r="B48" s="17">
        <v>1.0509999999999999</v>
      </c>
      <c r="C48" s="11">
        <v>0.18099999999999999</v>
      </c>
      <c r="D48" s="13">
        <f>C48/B48</f>
        <v>0.17221693625118936</v>
      </c>
    </row>
    <row r="49" spans="1:4" ht="15" customHeight="1" x14ac:dyDescent="0.25">
      <c r="A49" s="16" t="s">
        <v>58</v>
      </c>
      <c r="B49" s="17">
        <v>2.2210000000000001</v>
      </c>
      <c r="C49" s="11">
        <v>0.375</v>
      </c>
      <c r="D49" s="13">
        <f>C49/B49</f>
        <v>0.16884286357496622</v>
      </c>
    </row>
    <row r="50" spans="1:4" ht="15" customHeight="1" x14ac:dyDescent="0.25">
      <c r="A50" s="16" t="s">
        <v>52</v>
      </c>
      <c r="B50" s="17">
        <v>2.7789999999999999</v>
      </c>
      <c r="C50" s="11">
        <v>0.46899999999999997</v>
      </c>
      <c r="D50" s="13">
        <f>C50/B50</f>
        <v>0.16876574307304784</v>
      </c>
    </row>
    <row r="51" spans="1:4" ht="15" customHeight="1" x14ac:dyDescent="0.25">
      <c r="A51" s="16" t="s">
        <v>12</v>
      </c>
      <c r="B51" s="17">
        <v>10.811</v>
      </c>
      <c r="C51" s="11">
        <v>1.8129999999999999</v>
      </c>
      <c r="D51" s="13">
        <f>C51/B51</f>
        <v>0.16769956525760799</v>
      </c>
    </row>
    <row r="52" spans="1:4" ht="15" customHeight="1" x14ac:dyDescent="0.25">
      <c r="A52" s="16" t="s">
        <v>21</v>
      </c>
      <c r="B52" s="17">
        <v>7.1139999999999999</v>
      </c>
      <c r="C52" s="11">
        <v>1.177</v>
      </c>
      <c r="D52" s="13">
        <f>C52/B52</f>
        <v>0.1654484115827945</v>
      </c>
    </row>
    <row r="53" spans="1:4" ht="15" customHeight="1" x14ac:dyDescent="0.25">
      <c r="A53" s="16" t="s">
        <v>88</v>
      </c>
      <c r="B53" s="17">
        <v>1.1220000000000001</v>
      </c>
      <c r="C53" s="11">
        <v>0.18099999999999999</v>
      </c>
      <c r="D53" s="13">
        <f>C53/B53</f>
        <v>0.16131907308377894</v>
      </c>
    </row>
    <row r="54" spans="1:4" ht="15" customHeight="1" x14ac:dyDescent="0.25">
      <c r="A54" s="16" t="s">
        <v>33</v>
      </c>
      <c r="B54" s="17">
        <v>5.1479999999999997</v>
      </c>
      <c r="C54" s="11">
        <v>0.82199999999999995</v>
      </c>
      <c r="D54" s="13">
        <f>C54/B54</f>
        <v>0.15967365967365968</v>
      </c>
    </row>
    <row r="55" spans="1:4" ht="15" customHeight="1" x14ac:dyDescent="0.25">
      <c r="A55" s="16" t="s">
        <v>61</v>
      </c>
      <c r="B55" s="17">
        <v>2.1179999999999999</v>
      </c>
      <c r="C55" s="11">
        <v>0.33600000000000002</v>
      </c>
      <c r="D55" s="13">
        <f>C55/B55</f>
        <v>0.15864022662889521</v>
      </c>
    </row>
    <row r="56" spans="1:4" ht="15" customHeight="1" x14ac:dyDescent="0.25">
      <c r="A56" s="16" t="s">
        <v>102</v>
      </c>
      <c r="B56" s="17">
        <v>0.69799999999999995</v>
      </c>
      <c r="C56" s="11">
        <v>0.11</v>
      </c>
      <c r="D56" s="13">
        <f>C56/B56</f>
        <v>0.15759312320916907</v>
      </c>
    </row>
    <row r="57" spans="1:4" ht="15" customHeight="1" x14ac:dyDescent="0.25">
      <c r="A57" s="16" t="s">
        <v>43</v>
      </c>
      <c r="B57" s="17">
        <v>3.669</v>
      </c>
      <c r="C57" s="11">
        <v>0.56999999999999995</v>
      </c>
      <c r="D57" s="13">
        <f>C57/B57</f>
        <v>0.15535568274734257</v>
      </c>
    </row>
    <row r="58" spans="1:4" ht="15" customHeight="1" x14ac:dyDescent="0.25">
      <c r="A58" s="16" t="s">
        <v>67</v>
      </c>
      <c r="B58" s="17">
        <v>1.857</v>
      </c>
      <c r="C58" s="11">
        <v>0.28199999999999997</v>
      </c>
      <c r="D58" s="13">
        <f>C58/B58</f>
        <v>0.15185783521809368</v>
      </c>
    </row>
    <row r="59" spans="1:4" ht="15" customHeight="1" x14ac:dyDescent="0.25">
      <c r="A59" s="16" t="s">
        <v>124</v>
      </c>
      <c r="B59" s="17">
        <v>0.376</v>
      </c>
      <c r="C59" s="11">
        <v>5.6000000000000001E-2</v>
      </c>
      <c r="D59" s="13">
        <f>C59/B59</f>
        <v>0.14893617021276595</v>
      </c>
    </row>
    <row r="60" spans="1:4" ht="15" customHeight="1" x14ac:dyDescent="0.25">
      <c r="A60" s="16" t="s">
        <v>78</v>
      </c>
      <c r="B60" s="17">
        <v>1.466</v>
      </c>
      <c r="C60" s="11">
        <v>0.217</v>
      </c>
      <c r="D60" s="13">
        <f>C60/B60</f>
        <v>0.1480218281036835</v>
      </c>
    </row>
    <row r="61" spans="1:4" ht="15" customHeight="1" x14ac:dyDescent="0.25">
      <c r="A61" s="16" t="s">
        <v>59</v>
      </c>
      <c r="B61" s="17">
        <v>2.2120000000000002</v>
      </c>
      <c r="C61" s="11">
        <v>0.32500000000000001</v>
      </c>
      <c r="D61" s="13">
        <f>C61/B61</f>
        <v>0.14692585895117541</v>
      </c>
    </row>
    <row r="62" spans="1:4" ht="15" customHeight="1" x14ac:dyDescent="0.25">
      <c r="A62" s="16" t="s">
        <v>38</v>
      </c>
      <c r="B62" s="17">
        <v>4.3520000000000003</v>
      </c>
      <c r="C62" s="11">
        <v>0.63700000000000001</v>
      </c>
      <c r="D62" s="13">
        <f>C62/B62</f>
        <v>0.14636948529411764</v>
      </c>
    </row>
    <row r="63" spans="1:4" ht="15" customHeight="1" x14ac:dyDescent="0.25">
      <c r="A63" s="16" t="s">
        <v>99</v>
      </c>
      <c r="B63" s="17">
        <v>0.77900000000000003</v>
      </c>
      <c r="C63" s="11">
        <v>0.114</v>
      </c>
      <c r="D63" s="13">
        <f>C63/B63</f>
        <v>0.14634146341463414</v>
      </c>
    </row>
    <row r="64" spans="1:4" ht="15" customHeight="1" x14ac:dyDescent="0.25">
      <c r="A64" s="16" t="s">
        <v>41</v>
      </c>
      <c r="B64" s="17">
        <v>3.9940000000000002</v>
      </c>
      <c r="C64" s="11">
        <v>0.57999999999999996</v>
      </c>
      <c r="D64" s="13">
        <f>C64/B64</f>
        <v>0.14521782674011013</v>
      </c>
    </row>
    <row r="65" spans="1:4" ht="15" customHeight="1" x14ac:dyDescent="0.25">
      <c r="A65" s="16" t="s">
        <v>35</v>
      </c>
      <c r="B65" s="17">
        <v>4.8159999999999998</v>
      </c>
      <c r="C65" s="11">
        <v>0.67700000000000005</v>
      </c>
      <c r="D65" s="13">
        <f>C65/B65</f>
        <v>0.14057308970099669</v>
      </c>
    </row>
    <row r="66" spans="1:4" ht="15" customHeight="1" x14ac:dyDescent="0.25">
      <c r="A66" s="16" t="s">
        <v>14</v>
      </c>
      <c r="B66" s="17">
        <v>10.773999999999999</v>
      </c>
      <c r="C66" s="11">
        <v>1.4390000000000001</v>
      </c>
      <c r="D66" s="13">
        <f>C66/B66</f>
        <v>0.1335622795619083</v>
      </c>
    </row>
    <row r="67" spans="1:4" ht="15" customHeight="1" x14ac:dyDescent="0.25">
      <c r="A67" s="16" t="s">
        <v>16</v>
      </c>
      <c r="B67" s="17">
        <v>9.3520000000000003</v>
      </c>
      <c r="C67" s="11">
        <v>1.242</v>
      </c>
      <c r="D67" s="13">
        <f>C67/B67</f>
        <v>0.13280581693755347</v>
      </c>
    </row>
    <row r="68" spans="1:4" ht="15" customHeight="1" x14ac:dyDescent="0.25">
      <c r="A68" s="16" t="s">
        <v>81</v>
      </c>
      <c r="B68" s="17">
        <v>1.2290000000000001</v>
      </c>
      <c r="C68" s="11">
        <v>0.16300000000000001</v>
      </c>
      <c r="D68" s="13">
        <f>C68/B68</f>
        <v>0.13262815296989422</v>
      </c>
    </row>
    <row r="69" spans="1:4" ht="15" customHeight="1" x14ac:dyDescent="0.25">
      <c r="A69" s="16" t="s">
        <v>97</v>
      </c>
      <c r="B69" s="17">
        <v>0.80600000000000005</v>
      </c>
      <c r="C69" s="11">
        <v>0.10299999999999999</v>
      </c>
      <c r="D69" s="13">
        <f>C69/B69</f>
        <v>0.12779156327543423</v>
      </c>
    </row>
    <row r="70" spans="1:4" ht="15" customHeight="1" x14ac:dyDescent="0.25">
      <c r="A70" s="16" t="s">
        <v>96</v>
      </c>
      <c r="B70" s="17">
        <v>0.86199999999999999</v>
      </c>
      <c r="C70" s="11">
        <v>0.109</v>
      </c>
      <c r="D70" s="13">
        <f>C70/B70</f>
        <v>0.12645011600928074</v>
      </c>
    </row>
    <row r="71" spans="1:4" ht="15" customHeight="1" x14ac:dyDescent="0.25">
      <c r="A71" s="16" t="s">
        <v>116</v>
      </c>
      <c r="B71" s="17">
        <v>0.46700000000000003</v>
      </c>
      <c r="C71" s="11">
        <v>5.8999999999999997E-2</v>
      </c>
      <c r="D71" s="13">
        <f>C71/B71</f>
        <v>0.12633832976445394</v>
      </c>
    </row>
    <row r="72" spans="1:4" ht="15" customHeight="1" x14ac:dyDescent="0.25">
      <c r="A72" s="16" t="s">
        <v>15</v>
      </c>
      <c r="B72" s="17">
        <v>9.4760000000000009</v>
      </c>
      <c r="C72" s="11">
        <v>1.1659999999999999</v>
      </c>
      <c r="D72" s="13">
        <f>C72/B72</f>
        <v>0.12304769945124523</v>
      </c>
    </row>
    <row r="73" spans="1:4" ht="15" customHeight="1" x14ac:dyDescent="0.25">
      <c r="A73" s="16" t="s">
        <v>114</v>
      </c>
      <c r="B73" s="17">
        <v>0.52100000000000002</v>
      </c>
      <c r="C73" s="11">
        <v>6.2E-2</v>
      </c>
      <c r="D73" s="13">
        <f>C73/B73</f>
        <v>0.11900191938579655</v>
      </c>
    </row>
    <row r="74" spans="1:4" ht="15" customHeight="1" x14ac:dyDescent="0.25">
      <c r="A74" s="16" t="s">
        <v>70</v>
      </c>
      <c r="B74" s="17">
        <v>1.77</v>
      </c>
      <c r="C74" s="11">
        <v>0.20799999999999999</v>
      </c>
      <c r="D74" s="13">
        <f>C74/B74</f>
        <v>0.1175141242937853</v>
      </c>
    </row>
    <row r="75" spans="1:4" ht="15" customHeight="1" x14ac:dyDescent="0.25">
      <c r="A75" s="16" t="s">
        <v>64</v>
      </c>
      <c r="B75" s="17">
        <v>2.0129999999999999</v>
      </c>
      <c r="C75" s="11">
        <v>0.23499999999999999</v>
      </c>
      <c r="D75" s="13">
        <f>C75/B75</f>
        <v>0.11674118231495281</v>
      </c>
    </row>
    <row r="76" spans="1:4" ht="15" customHeight="1" x14ac:dyDescent="0.25">
      <c r="A76" s="16" t="s">
        <v>84</v>
      </c>
      <c r="B76" s="17">
        <v>1.204</v>
      </c>
      <c r="C76" s="11">
        <v>0.13900000000000001</v>
      </c>
      <c r="D76" s="13">
        <f>C76/B76</f>
        <v>0.11544850498338873</v>
      </c>
    </row>
    <row r="77" spans="1:4" ht="15" customHeight="1" x14ac:dyDescent="0.25">
      <c r="A77" s="16" t="s">
        <v>111</v>
      </c>
      <c r="B77" s="17">
        <v>0.55000000000000004</v>
      </c>
      <c r="C77" s="11">
        <v>6.2E-2</v>
      </c>
      <c r="D77" s="13">
        <f>C77/B77</f>
        <v>0.11272727272727272</v>
      </c>
    </row>
    <row r="78" spans="1:4" ht="15" customHeight="1" x14ac:dyDescent="0.25">
      <c r="A78" s="16" t="s">
        <v>94</v>
      </c>
      <c r="B78" s="17">
        <v>0.92</v>
      </c>
      <c r="C78" s="11">
        <v>0.10299999999999999</v>
      </c>
      <c r="D78" s="13">
        <f>C78/B78</f>
        <v>0.11195652173913043</v>
      </c>
    </row>
    <row r="79" spans="1:4" ht="15" customHeight="1" x14ac:dyDescent="0.25">
      <c r="A79" s="16" t="s">
        <v>39</v>
      </c>
      <c r="B79" s="17">
        <v>4.2610000000000001</v>
      </c>
      <c r="C79" s="11">
        <v>0.46700000000000003</v>
      </c>
      <c r="D79" s="13">
        <f>C79/B79</f>
        <v>0.10959868575451773</v>
      </c>
    </row>
    <row r="80" spans="1:4" ht="15" customHeight="1" x14ac:dyDescent="0.25">
      <c r="A80" s="16" t="s">
        <v>29</v>
      </c>
      <c r="B80" s="17">
        <v>5.8070000000000004</v>
      </c>
      <c r="C80" s="11">
        <v>0.63100000000000001</v>
      </c>
      <c r="D80" s="13">
        <f>C80/B80</f>
        <v>0.10866195970380575</v>
      </c>
    </row>
    <row r="81" spans="1:4" ht="15" customHeight="1" x14ac:dyDescent="0.25">
      <c r="A81" s="16" t="s">
        <v>87</v>
      </c>
      <c r="B81" s="17">
        <v>1.123</v>
      </c>
      <c r="C81" s="11">
        <v>0.10299999999999999</v>
      </c>
      <c r="D81" s="13">
        <f>C81/B81</f>
        <v>9.1718610863757793E-2</v>
      </c>
    </row>
    <row r="82" spans="1:4" ht="15" customHeight="1" x14ac:dyDescent="0.25">
      <c r="A82" s="16" t="s">
        <v>55</v>
      </c>
      <c r="B82" s="17">
        <v>2.3679999999999999</v>
      </c>
      <c r="C82" s="11">
        <v>0.215</v>
      </c>
      <c r="D82" s="13">
        <f>C82/B82</f>
        <v>9.0793918918918928E-2</v>
      </c>
    </row>
    <row r="83" spans="1:4" ht="15" customHeight="1" x14ac:dyDescent="0.25">
      <c r="A83" s="16" t="s">
        <v>10</v>
      </c>
      <c r="B83" s="17">
        <v>11.391999999999999</v>
      </c>
      <c r="C83" s="11">
        <v>1.03</v>
      </c>
      <c r="D83" s="13">
        <f>C83/B83</f>
        <v>9.0414325842696638E-2</v>
      </c>
    </row>
    <row r="84" spans="1:4" ht="15" customHeight="1" x14ac:dyDescent="0.25">
      <c r="A84" s="16" t="s">
        <v>80</v>
      </c>
      <c r="B84" s="17">
        <v>1.2529999999999999</v>
      </c>
      <c r="C84" s="11">
        <v>0.113</v>
      </c>
      <c r="D84" s="13">
        <f>C84/B84</f>
        <v>9.0183559457302484E-2</v>
      </c>
    </row>
    <row r="85" spans="1:4" ht="15" customHeight="1" x14ac:dyDescent="0.25">
      <c r="A85" s="16" t="s">
        <v>56</v>
      </c>
      <c r="B85" s="17">
        <v>2.3029999999999999</v>
      </c>
      <c r="C85" s="11">
        <v>0.20300000000000001</v>
      </c>
      <c r="D85" s="13">
        <f>C85/B85</f>
        <v>8.8145896656534967E-2</v>
      </c>
    </row>
    <row r="86" spans="1:4" ht="15" customHeight="1" x14ac:dyDescent="0.25">
      <c r="A86" s="16" t="s">
        <v>73</v>
      </c>
      <c r="B86" s="17">
        <v>1.5860000000000001</v>
      </c>
      <c r="C86" s="11">
        <v>0.13900000000000001</v>
      </c>
      <c r="D86" s="13">
        <f>C86/B86</f>
        <v>8.7641866330390922E-2</v>
      </c>
    </row>
    <row r="87" spans="1:4" ht="15" customHeight="1" x14ac:dyDescent="0.25">
      <c r="A87" s="16" t="s">
        <v>103</v>
      </c>
      <c r="B87" s="17">
        <v>0.69099999999999995</v>
      </c>
      <c r="C87" s="11">
        <v>5.8999999999999997E-2</v>
      </c>
      <c r="D87" s="13">
        <f>C87/B87</f>
        <v>8.5383502170767012E-2</v>
      </c>
    </row>
    <row r="88" spans="1:4" ht="15" customHeight="1" x14ac:dyDescent="0.25">
      <c r="A88" s="16" t="s">
        <v>79</v>
      </c>
      <c r="B88" s="17">
        <v>1.272</v>
      </c>
      <c r="C88" s="11">
        <v>0.10299999999999999</v>
      </c>
      <c r="D88" s="13">
        <f>C88/B88</f>
        <v>8.0974842767295593E-2</v>
      </c>
    </row>
    <row r="89" spans="1:4" ht="15" customHeight="1" x14ac:dyDescent="0.25">
      <c r="A89" s="16" t="s">
        <v>92</v>
      </c>
      <c r="B89" s="17">
        <v>0.93700000000000006</v>
      </c>
      <c r="C89" s="11">
        <v>7.4999999999999997E-2</v>
      </c>
      <c r="D89" s="13">
        <f>C89/B89</f>
        <v>8.0042689434364989E-2</v>
      </c>
    </row>
    <row r="90" spans="1:4" ht="15" customHeight="1" x14ac:dyDescent="0.25">
      <c r="A90" s="16" t="s">
        <v>23</v>
      </c>
      <c r="B90" s="17">
        <v>6.6660000000000004</v>
      </c>
      <c r="C90" s="11">
        <v>0.52300000000000002</v>
      </c>
      <c r="D90" s="13">
        <f>C90/B90</f>
        <v>7.8457845784578456E-2</v>
      </c>
    </row>
    <row r="91" spans="1:4" ht="15" customHeight="1" x14ac:dyDescent="0.25">
      <c r="A91" s="16" t="s">
        <v>13</v>
      </c>
      <c r="B91" s="17">
        <v>10.775</v>
      </c>
      <c r="C91" s="11">
        <v>0.84099999999999997</v>
      </c>
      <c r="D91" s="13">
        <f>C91/B91</f>
        <v>7.8051044083526672E-2</v>
      </c>
    </row>
    <row r="92" spans="1:4" ht="15" customHeight="1" x14ac:dyDescent="0.25">
      <c r="A92" s="16" t="s">
        <v>30</v>
      </c>
      <c r="B92" s="17">
        <v>5.5819999999999999</v>
      </c>
      <c r="C92" s="11">
        <v>0.41299999999999998</v>
      </c>
      <c r="D92" s="13">
        <f>C92/B92</f>
        <v>7.3987817986384805E-2</v>
      </c>
    </row>
    <row r="93" spans="1:4" ht="15" customHeight="1" x14ac:dyDescent="0.25">
      <c r="A93" s="16" t="s">
        <v>18</v>
      </c>
      <c r="B93" s="17">
        <v>8.984</v>
      </c>
      <c r="C93" s="11">
        <v>0.61099999999999999</v>
      </c>
      <c r="D93" s="13">
        <f>C93/B93</f>
        <v>6.8009795191451464E-2</v>
      </c>
    </row>
    <row r="94" spans="1:4" ht="15" customHeight="1" x14ac:dyDescent="0.25">
      <c r="A94" s="16" t="s">
        <v>49</v>
      </c>
      <c r="B94" s="17">
        <v>3.008</v>
      </c>
      <c r="C94" s="11">
        <v>0.19400000000000001</v>
      </c>
      <c r="D94" s="13">
        <f>C94/B94</f>
        <v>6.4494680851063829E-2</v>
      </c>
    </row>
    <row r="95" spans="1:4" ht="15" customHeight="1" x14ac:dyDescent="0.25">
      <c r="A95" s="16" t="s">
        <v>91</v>
      </c>
      <c r="B95" s="17">
        <v>0.96899999999999997</v>
      </c>
      <c r="C95" s="11">
        <v>6.2E-2</v>
      </c>
      <c r="D95" s="13">
        <f>C95/B95</f>
        <v>6.3983488132094951E-2</v>
      </c>
    </row>
    <row r="96" spans="1:4" ht="15" customHeight="1" x14ac:dyDescent="0.25">
      <c r="A96" s="16" t="s">
        <v>37</v>
      </c>
      <c r="B96" s="17">
        <v>4.6120000000000001</v>
      </c>
      <c r="C96" s="11">
        <v>0.28199999999999997</v>
      </c>
      <c r="D96" s="13">
        <f>C96/B96</f>
        <v>6.1144839549002593E-2</v>
      </c>
    </row>
    <row r="97" spans="1:4" ht="15" customHeight="1" x14ac:dyDescent="0.25">
      <c r="A97" s="16" t="s">
        <v>31</v>
      </c>
      <c r="B97" s="17">
        <v>5.4710000000000001</v>
      </c>
      <c r="C97" s="11">
        <v>0.32800000000000001</v>
      </c>
      <c r="D97" s="13">
        <f>C97/B97</f>
        <v>5.9952476695302508E-2</v>
      </c>
    </row>
    <row r="98" spans="1:4" ht="15" customHeight="1" x14ac:dyDescent="0.25">
      <c r="A98" s="16" t="s">
        <v>95</v>
      </c>
      <c r="B98" s="17">
        <v>0.88200000000000001</v>
      </c>
      <c r="C98" s="11">
        <v>5.1999999999999998E-2</v>
      </c>
      <c r="D98" s="13">
        <f>C98/B98</f>
        <v>5.8956916099773236E-2</v>
      </c>
    </row>
    <row r="99" spans="1:4" ht="15" customHeight="1" x14ac:dyDescent="0.25">
      <c r="A99" s="16" t="s">
        <v>11</v>
      </c>
      <c r="B99" s="17">
        <v>11.115</v>
      </c>
      <c r="C99" s="11">
        <v>0.60599999999999998</v>
      </c>
      <c r="D99" s="13">
        <f>C99/B99</f>
        <v>5.4520917678812411E-2</v>
      </c>
    </row>
    <row r="100" spans="1:4" ht="15" customHeight="1" x14ac:dyDescent="0.25">
      <c r="A100" s="16" t="s">
        <v>28</v>
      </c>
      <c r="B100" s="17">
        <v>5.96</v>
      </c>
      <c r="C100" s="11">
        <v>0.317</v>
      </c>
      <c r="D100" s="13">
        <f>C100/B100</f>
        <v>5.3187919463087249E-2</v>
      </c>
    </row>
    <row r="101" spans="1:4" ht="15" customHeight="1" x14ac:dyDescent="0.25">
      <c r="A101" s="16" t="s">
        <v>45</v>
      </c>
      <c r="B101" s="17">
        <v>3.2610000000000001</v>
      </c>
      <c r="C101" s="11">
        <v>0.17199999999999999</v>
      </c>
      <c r="D101" s="13">
        <f>C101/B101</f>
        <v>5.2744556884391287E-2</v>
      </c>
    </row>
    <row r="102" spans="1:4" ht="15" customHeight="1" x14ac:dyDescent="0.25">
      <c r="A102" s="16" t="s">
        <v>51</v>
      </c>
      <c r="B102" s="17">
        <v>2.9329999999999998</v>
      </c>
      <c r="C102" s="11">
        <v>0.154</v>
      </c>
      <c r="D102" s="13">
        <f>C102/B102</f>
        <v>5.2505966587112173E-2</v>
      </c>
    </row>
    <row r="103" spans="1:4" ht="15" customHeight="1" x14ac:dyDescent="0.25">
      <c r="A103" s="16" t="s">
        <v>19</v>
      </c>
      <c r="B103" s="17">
        <v>8.6310000000000002</v>
      </c>
      <c r="C103" s="11">
        <v>0.44600000000000001</v>
      </c>
      <c r="D103" s="13">
        <f>C103/B103</f>
        <v>5.1674197659599116E-2</v>
      </c>
    </row>
    <row r="104" spans="1:4" ht="15" customHeight="1" x14ac:dyDescent="0.25">
      <c r="A104" s="16" t="s">
        <v>63</v>
      </c>
      <c r="B104" s="17">
        <v>2.0209999999999999</v>
      </c>
      <c r="C104" s="11">
        <v>0.10299999999999999</v>
      </c>
      <c r="D104" s="13">
        <f>C104/B104</f>
        <v>5.0964868876793669E-2</v>
      </c>
    </row>
    <row r="105" spans="1:4" ht="15" customHeight="1" x14ac:dyDescent="0.25">
      <c r="A105" s="16" t="s">
        <v>24</v>
      </c>
      <c r="B105" s="17">
        <v>6.6379999999999999</v>
      </c>
      <c r="C105" s="11">
        <v>0.32900000000000001</v>
      </c>
      <c r="D105" s="13">
        <f>C105/B105</f>
        <v>4.9563121422115095E-2</v>
      </c>
    </row>
    <row r="106" spans="1:4" ht="15" customHeight="1" x14ac:dyDescent="0.25">
      <c r="A106" s="16" t="s">
        <v>62</v>
      </c>
      <c r="B106" s="17">
        <v>2.0819999999999999</v>
      </c>
      <c r="C106" s="11">
        <v>0.10299999999999999</v>
      </c>
      <c r="D106" s="13">
        <f>C106/B106</f>
        <v>4.9471661863592697E-2</v>
      </c>
    </row>
    <row r="107" spans="1:4" ht="15" customHeight="1" x14ac:dyDescent="0.25">
      <c r="A107" s="16" t="s">
        <v>46</v>
      </c>
      <c r="B107" s="17">
        <v>3.2589999999999999</v>
      </c>
      <c r="C107" s="11">
        <v>0.14799999999999999</v>
      </c>
      <c r="D107" s="13">
        <f>C107/B107</f>
        <v>4.5412703283215707E-2</v>
      </c>
    </row>
    <row r="108" spans="1:4" ht="15" customHeight="1" x14ac:dyDescent="0.25">
      <c r="A108" s="16" t="s">
        <v>22</v>
      </c>
      <c r="B108" s="17">
        <v>6.89</v>
      </c>
      <c r="C108" s="11">
        <v>0.29299999999999998</v>
      </c>
      <c r="D108" s="13">
        <f>C108/B108</f>
        <v>4.2525399129172713E-2</v>
      </c>
    </row>
    <row r="109" spans="1:4" ht="15" customHeight="1" x14ac:dyDescent="0.25">
      <c r="A109" s="16" t="s">
        <v>82</v>
      </c>
      <c r="B109" s="17">
        <v>1.226</v>
      </c>
      <c r="C109" s="11">
        <v>5.1999999999999998E-2</v>
      </c>
      <c r="D109" s="13">
        <f>C109/B109</f>
        <v>4.2414355628058724E-2</v>
      </c>
    </row>
    <row r="110" spans="1:4" ht="15" customHeight="1" x14ac:dyDescent="0.25">
      <c r="A110" s="16" t="s">
        <v>68</v>
      </c>
      <c r="B110" s="17">
        <v>1.853</v>
      </c>
      <c r="C110" s="11">
        <v>7.4999999999999997E-2</v>
      </c>
      <c r="D110" s="13">
        <f>C110/B110</f>
        <v>4.0474905558553695E-2</v>
      </c>
    </row>
    <row r="111" spans="1:4" ht="15" customHeight="1" x14ac:dyDescent="0.25">
      <c r="A111" s="16" t="s">
        <v>17</v>
      </c>
      <c r="B111" s="17">
        <v>9.3170000000000002</v>
      </c>
      <c r="C111" s="11">
        <v>0.373</v>
      </c>
      <c r="D111" s="13">
        <f>C111/B111</f>
        <v>4.0034345819469783E-2</v>
      </c>
    </row>
    <row r="112" spans="1:4" ht="15" customHeight="1" x14ac:dyDescent="0.25">
      <c r="A112" s="16" t="s">
        <v>60</v>
      </c>
      <c r="B112" s="17">
        <v>2.141</v>
      </c>
      <c r="C112" s="11">
        <v>7.4999999999999997E-2</v>
      </c>
      <c r="D112" s="13">
        <f>C112/B112</f>
        <v>3.503035964502569E-2</v>
      </c>
    </row>
    <row r="113" spans="1:4" ht="15" customHeight="1" x14ac:dyDescent="0.25">
      <c r="A113" s="16" t="s">
        <v>34</v>
      </c>
      <c r="B113" s="17">
        <v>4.8209999999999997</v>
      </c>
      <c r="C113" s="11">
        <v>0.154</v>
      </c>
      <c r="D113" s="13">
        <f>C113/B113</f>
        <v>3.1943580170089192E-2</v>
      </c>
    </row>
    <row r="114" spans="1:4" ht="15" customHeight="1" x14ac:dyDescent="0.25">
      <c r="A114" s="16" t="s">
        <v>53</v>
      </c>
      <c r="B114" s="17">
        <v>2.7389999999999999</v>
      </c>
      <c r="C114" s="11">
        <v>5.8999999999999997E-2</v>
      </c>
      <c r="D114" s="13">
        <f>C114/B114</f>
        <v>2.1540708287696241E-2</v>
      </c>
    </row>
    <row r="115" spans="1:4" ht="15" customHeight="1" x14ac:dyDescent="0.25">
      <c r="A115" s="16" t="s">
        <v>7</v>
      </c>
      <c r="B115" s="17">
        <v>13.532</v>
      </c>
      <c r="C115" s="11">
        <v>0.26600000000000001</v>
      </c>
      <c r="D115" s="13">
        <f>C115/B115</f>
        <v>1.9657109074785694E-2</v>
      </c>
    </row>
    <row r="116" spans="1:4" ht="15" customHeight="1" x14ac:dyDescent="0.25">
      <c r="A116" s="16" t="s">
        <v>148</v>
      </c>
      <c r="B116" s="17">
        <v>2.9000000000000001E-2</v>
      </c>
      <c r="C116" s="11">
        <v>0</v>
      </c>
      <c r="D116" s="13">
        <f>C116/B116</f>
        <v>0</v>
      </c>
    </row>
    <row r="117" spans="1:4" ht="15" customHeight="1" x14ac:dyDescent="0.25">
      <c r="A117" s="16" t="s">
        <v>147</v>
      </c>
      <c r="B117" s="17">
        <v>5.0999999999999997E-2</v>
      </c>
      <c r="C117" s="11">
        <v>0</v>
      </c>
      <c r="D117" s="13">
        <f>C117/B117</f>
        <v>0</v>
      </c>
    </row>
    <row r="118" spans="1:4" ht="15" customHeight="1" x14ac:dyDescent="0.25">
      <c r="A118" s="16" t="s">
        <v>146</v>
      </c>
      <c r="B118" s="17">
        <v>5.1999999999999998E-2</v>
      </c>
      <c r="C118" s="11">
        <v>0</v>
      </c>
      <c r="D118" s="13">
        <f>C118/B118</f>
        <v>0</v>
      </c>
    </row>
    <row r="119" spans="1:4" ht="15" customHeight="1" x14ac:dyDescent="0.25">
      <c r="A119" s="16" t="s">
        <v>145</v>
      </c>
      <c r="B119" s="17">
        <v>6.2E-2</v>
      </c>
      <c r="C119" s="11">
        <v>0</v>
      </c>
      <c r="D119" s="13">
        <f>C119/B119</f>
        <v>0</v>
      </c>
    </row>
    <row r="120" spans="1:4" ht="15" customHeight="1" x14ac:dyDescent="0.25">
      <c r="A120" s="16" t="s">
        <v>142</v>
      </c>
      <c r="B120" s="17">
        <v>7.4999999999999997E-2</v>
      </c>
      <c r="C120" s="11">
        <v>0</v>
      </c>
      <c r="D120" s="13">
        <f>C120/B120</f>
        <v>0</v>
      </c>
    </row>
    <row r="121" spans="1:4" ht="15" customHeight="1" x14ac:dyDescent="0.25">
      <c r="A121" s="16" t="s">
        <v>143</v>
      </c>
      <c r="B121" s="17">
        <v>7.4999999999999997E-2</v>
      </c>
      <c r="C121" s="11">
        <v>0</v>
      </c>
      <c r="D121" s="13">
        <f>C121/B121</f>
        <v>0</v>
      </c>
    </row>
    <row r="122" spans="1:4" ht="15" customHeight="1" x14ac:dyDescent="0.25">
      <c r="A122" s="16" t="s">
        <v>144</v>
      </c>
      <c r="B122" s="17">
        <v>7.4999999999999997E-2</v>
      </c>
      <c r="C122" s="11">
        <v>0</v>
      </c>
      <c r="D122" s="13">
        <f>C122/B122</f>
        <v>0</v>
      </c>
    </row>
    <row r="123" spans="1:4" ht="15" customHeight="1" x14ac:dyDescent="0.25">
      <c r="A123" s="16" t="s">
        <v>141</v>
      </c>
      <c r="B123" s="17">
        <v>0.105</v>
      </c>
      <c r="C123" s="11">
        <v>0</v>
      </c>
      <c r="D123" s="13">
        <f>C123/B123</f>
        <v>0</v>
      </c>
    </row>
    <row r="124" spans="1:4" ht="15" customHeight="1" x14ac:dyDescent="0.25">
      <c r="A124" s="16" t="s">
        <v>139</v>
      </c>
      <c r="B124" s="17">
        <v>0.151</v>
      </c>
      <c r="C124" s="11">
        <v>0</v>
      </c>
      <c r="D124" s="13">
        <f>C124/B124</f>
        <v>0</v>
      </c>
    </row>
    <row r="125" spans="1:4" ht="15" customHeight="1" x14ac:dyDescent="0.25">
      <c r="A125" s="16" t="s">
        <v>140</v>
      </c>
      <c r="B125" s="17">
        <v>0.151</v>
      </c>
      <c r="C125" s="11">
        <v>0</v>
      </c>
      <c r="D125" s="13">
        <f>C125/B125</f>
        <v>0</v>
      </c>
    </row>
    <row r="126" spans="1:4" ht="15" customHeight="1" x14ac:dyDescent="0.25">
      <c r="A126" s="16" t="s">
        <v>138</v>
      </c>
      <c r="B126" s="17">
        <v>0.16900000000000001</v>
      </c>
      <c r="C126" s="11">
        <v>0</v>
      </c>
      <c r="D126" s="13">
        <f>C126/B126</f>
        <v>0</v>
      </c>
    </row>
    <row r="127" spans="1:4" ht="15" customHeight="1" x14ac:dyDescent="0.25">
      <c r="A127" s="16" t="s">
        <v>136</v>
      </c>
      <c r="B127" s="17">
        <v>0.19600000000000001</v>
      </c>
      <c r="C127" s="11">
        <v>0</v>
      </c>
      <c r="D127" s="13">
        <f>C127/B127</f>
        <v>0</v>
      </c>
    </row>
    <row r="128" spans="1:4" ht="15" customHeight="1" x14ac:dyDescent="0.25">
      <c r="A128" s="16" t="s">
        <v>133</v>
      </c>
      <c r="B128" s="17">
        <v>0.23699999999999999</v>
      </c>
      <c r="C128" s="11">
        <v>0</v>
      </c>
      <c r="D128" s="13">
        <f>C128/B128</f>
        <v>0</v>
      </c>
    </row>
    <row r="129" spans="1:4" ht="15" customHeight="1" x14ac:dyDescent="0.25">
      <c r="A129" s="16" t="s">
        <v>131</v>
      </c>
      <c r="B129" s="17">
        <v>0.26500000000000001</v>
      </c>
      <c r="C129" s="11">
        <v>0</v>
      </c>
      <c r="D129" s="13">
        <f>C129/B129</f>
        <v>0</v>
      </c>
    </row>
    <row r="130" spans="1:4" ht="15" customHeight="1" x14ac:dyDescent="0.25">
      <c r="A130" s="16" t="s">
        <v>130</v>
      </c>
      <c r="B130" s="17">
        <v>0.27600000000000002</v>
      </c>
      <c r="C130" s="11">
        <v>0</v>
      </c>
      <c r="D130" s="13">
        <f>C130/B130</f>
        <v>0</v>
      </c>
    </row>
    <row r="131" spans="1:4" ht="15" customHeight="1" x14ac:dyDescent="0.25">
      <c r="A131" s="16" t="s">
        <v>129</v>
      </c>
      <c r="B131" s="17">
        <v>0.28899999999999998</v>
      </c>
      <c r="C131" s="11">
        <v>0</v>
      </c>
      <c r="D131" s="13">
        <f>C131/B131</f>
        <v>0</v>
      </c>
    </row>
    <row r="132" spans="1:4" ht="15" customHeight="1" x14ac:dyDescent="0.25">
      <c r="A132" s="16" t="s">
        <v>126</v>
      </c>
      <c r="B132" s="17">
        <v>0.33800000000000002</v>
      </c>
      <c r="C132" s="11">
        <v>0</v>
      </c>
      <c r="D132" s="13">
        <f>C132/B132</f>
        <v>0</v>
      </c>
    </row>
    <row r="133" spans="1:4" ht="15" customHeight="1" x14ac:dyDescent="0.25">
      <c r="A133" s="16" t="s">
        <v>125</v>
      </c>
      <c r="B133" s="17">
        <v>0.34</v>
      </c>
      <c r="C133" s="11">
        <v>0</v>
      </c>
      <c r="D133" s="13">
        <f>C133/B133</f>
        <v>0</v>
      </c>
    </row>
    <row r="134" spans="1:4" ht="15" customHeight="1" x14ac:dyDescent="0.25">
      <c r="A134" s="16" t="s">
        <v>123</v>
      </c>
      <c r="B134" s="17">
        <v>0.377</v>
      </c>
      <c r="C134" s="11">
        <v>0</v>
      </c>
      <c r="D134" s="13">
        <f>C134/B134</f>
        <v>0</v>
      </c>
    </row>
    <row r="135" spans="1:4" ht="15" customHeight="1" x14ac:dyDescent="0.25">
      <c r="A135" s="16" t="s">
        <v>119</v>
      </c>
      <c r="B135" s="17">
        <v>0.44500000000000001</v>
      </c>
      <c r="C135" s="11">
        <v>0</v>
      </c>
      <c r="D135" s="13">
        <f>C135/B135</f>
        <v>0</v>
      </c>
    </row>
    <row r="136" spans="1:4" ht="15" customHeight="1" x14ac:dyDescent="0.25">
      <c r="A136" s="16" t="s">
        <v>117</v>
      </c>
      <c r="B136" s="17">
        <v>0.46</v>
      </c>
      <c r="C136" s="11">
        <v>0</v>
      </c>
      <c r="D136" s="13">
        <f>C136/B136</f>
        <v>0</v>
      </c>
    </row>
    <row r="137" spans="1:4" ht="15" customHeight="1" x14ac:dyDescent="0.25">
      <c r="A137" s="16" t="s">
        <v>113</v>
      </c>
      <c r="B137" s="17">
        <v>0.52700000000000002</v>
      </c>
      <c r="C137" s="11">
        <v>0</v>
      </c>
      <c r="D137" s="13">
        <f>C137/B137</f>
        <v>0</v>
      </c>
    </row>
    <row r="138" spans="1:4" ht="15" customHeight="1" x14ac:dyDescent="0.25">
      <c r="A138" s="16" t="s">
        <v>110</v>
      </c>
      <c r="B138" s="17">
        <v>0.56799999999999995</v>
      </c>
      <c r="C138" s="11">
        <v>0</v>
      </c>
      <c r="D138" s="13">
        <f>C138/B138</f>
        <v>0</v>
      </c>
    </row>
    <row r="139" spans="1:4" ht="15" customHeight="1" x14ac:dyDescent="0.25">
      <c r="A139" s="16" t="s">
        <v>107</v>
      </c>
      <c r="B139" s="17">
        <v>0.64800000000000002</v>
      </c>
      <c r="C139" s="11">
        <v>0</v>
      </c>
      <c r="D139" s="13">
        <f>C139/B139</f>
        <v>0</v>
      </c>
    </row>
    <row r="140" spans="1:4" ht="15" customHeight="1" x14ac:dyDescent="0.25">
      <c r="A140" s="16" t="s">
        <v>105</v>
      </c>
      <c r="B140" s="17">
        <v>0.65</v>
      </c>
      <c r="C140" s="11">
        <v>0</v>
      </c>
      <c r="D140" s="13">
        <f>C140/B140</f>
        <v>0</v>
      </c>
    </row>
    <row r="141" spans="1:4" ht="15" customHeight="1" x14ac:dyDescent="0.25">
      <c r="A141" s="16" t="s">
        <v>104</v>
      </c>
      <c r="B141" s="17">
        <v>0.68100000000000005</v>
      </c>
      <c r="C141" s="11">
        <v>0</v>
      </c>
      <c r="D141" s="13">
        <f>C141/B141</f>
        <v>0</v>
      </c>
    </row>
    <row r="142" spans="1:4" ht="15" customHeight="1" x14ac:dyDescent="0.25">
      <c r="A142" s="16" t="s">
        <v>101</v>
      </c>
      <c r="B142" s="17">
        <v>0.72499999999999998</v>
      </c>
      <c r="C142" s="11">
        <v>0</v>
      </c>
      <c r="D142" s="13">
        <f>C142/B142</f>
        <v>0</v>
      </c>
    </row>
    <row r="143" spans="1:4" ht="15" customHeight="1" x14ac:dyDescent="0.25">
      <c r="A143" s="16" t="s">
        <v>89</v>
      </c>
      <c r="B143" s="17">
        <v>1.1180000000000001</v>
      </c>
      <c r="C143" s="11">
        <v>0</v>
      </c>
      <c r="D143" s="13">
        <f>C143/B143</f>
        <v>0</v>
      </c>
    </row>
    <row r="144" spans="1:4" ht="15" customHeight="1" x14ac:dyDescent="0.25">
      <c r="A144" s="16" t="s">
        <v>85</v>
      </c>
      <c r="B144" s="17">
        <v>1.2</v>
      </c>
      <c r="C144" s="11">
        <v>0</v>
      </c>
      <c r="D144" s="13">
        <f>C144/B144</f>
        <v>0</v>
      </c>
    </row>
    <row r="145" spans="1:4" ht="15" customHeight="1" x14ac:dyDescent="0.25">
      <c r="A145" s="16" t="s">
        <v>66</v>
      </c>
      <c r="B145" s="17">
        <v>1.8680000000000001</v>
      </c>
      <c r="C145" s="11">
        <v>0</v>
      </c>
      <c r="D145" s="13">
        <f>C145/B145</f>
        <v>0</v>
      </c>
    </row>
    <row r="146" spans="1:4" ht="15" customHeight="1" x14ac:dyDescent="0.25">
      <c r="A146" s="16" t="s">
        <v>65</v>
      </c>
      <c r="B146" s="17">
        <v>1.9590000000000001</v>
      </c>
      <c r="C146" s="11">
        <v>0</v>
      </c>
      <c r="D146" s="13">
        <f>C146/B146</f>
        <v>0</v>
      </c>
    </row>
    <row r="147" spans="1:4" ht="15" customHeight="1" x14ac:dyDescent="0.25">
      <c r="A147" s="16" t="s">
        <v>54</v>
      </c>
      <c r="B147" s="17">
        <v>2.5979999999999999</v>
      </c>
      <c r="C147" s="11">
        <v>0</v>
      </c>
      <c r="D147" s="13">
        <f>C147/B147</f>
        <v>0</v>
      </c>
    </row>
  </sheetData>
  <autoFilter ref="A2:D2" xr:uid="{2696929F-A73B-4CDF-8E63-3636C7BDAA94}">
    <sortState xmlns:xlrd2="http://schemas.microsoft.com/office/spreadsheetml/2017/richdata2" ref="A3:D147">
      <sortCondition descending="1" ref="D2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DB82B-8007-4DB5-892B-98911CFE8DEA}">
  <dimension ref="A1:F101"/>
  <sheetViews>
    <sheetView workbookViewId="0"/>
  </sheetViews>
  <sheetFormatPr defaultRowHeight="15" x14ac:dyDescent="0.25"/>
  <cols>
    <col min="1" max="1" width="9.140625" style="1"/>
    <col min="2" max="2" width="12.5703125" bestFit="1" customWidth="1"/>
    <col min="3" max="6" width="15.7109375" style="1" customWidth="1"/>
  </cols>
  <sheetData>
    <row r="1" spans="1:6" ht="21" x14ac:dyDescent="0.35">
      <c r="A1" s="23" t="s">
        <v>259</v>
      </c>
    </row>
    <row r="2" spans="1:6" x14ac:dyDescent="0.25">
      <c r="A2" s="18" t="s">
        <v>253</v>
      </c>
      <c r="B2" s="19" t="s">
        <v>254</v>
      </c>
      <c r="C2" s="18" t="s">
        <v>255</v>
      </c>
      <c r="D2" s="18" t="s">
        <v>256</v>
      </c>
      <c r="E2" s="18" t="s">
        <v>257</v>
      </c>
      <c r="F2" s="18" t="s">
        <v>258</v>
      </c>
    </row>
    <row r="3" spans="1:6" x14ac:dyDescent="0.25">
      <c r="A3" s="20" t="s">
        <v>154</v>
      </c>
      <c r="B3" s="21" t="s">
        <v>155</v>
      </c>
      <c r="C3" s="22">
        <v>47</v>
      </c>
      <c r="D3" s="22">
        <v>4.95</v>
      </c>
      <c r="E3" s="20">
        <v>71.400000000000006</v>
      </c>
      <c r="F3" s="20">
        <v>41.12</v>
      </c>
    </row>
    <row r="4" spans="1:6" x14ac:dyDescent="0.25">
      <c r="A4" s="20" t="s">
        <v>154</v>
      </c>
      <c r="B4" s="21" t="s">
        <v>156</v>
      </c>
      <c r="C4" s="22">
        <v>39</v>
      </c>
      <c r="D4" s="22">
        <v>1.49</v>
      </c>
      <c r="E4" s="20">
        <v>71.400000000000006</v>
      </c>
      <c r="F4" s="20">
        <v>37.299999999999997</v>
      </c>
    </row>
    <row r="5" spans="1:6" x14ac:dyDescent="0.25">
      <c r="A5" s="20" t="s">
        <v>154</v>
      </c>
      <c r="B5" s="21" t="s">
        <v>157</v>
      </c>
      <c r="C5" s="22">
        <v>100</v>
      </c>
      <c r="D5" s="22">
        <v>0</v>
      </c>
      <c r="E5" s="20">
        <v>71.400000000000006</v>
      </c>
      <c r="F5" s="20">
        <v>57.13</v>
      </c>
    </row>
    <row r="6" spans="1:6" x14ac:dyDescent="0.25">
      <c r="A6" s="20" t="s">
        <v>154</v>
      </c>
      <c r="B6" s="21" t="s">
        <v>158</v>
      </c>
      <c r="C6" s="22">
        <v>39</v>
      </c>
      <c r="D6" s="22">
        <v>2.94</v>
      </c>
      <c r="E6" s="20">
        <v>71.400000000000006</v>
      </c>
      <c r="F6" s="20">
        <v>37.78</v>
      </c>
    </row>
    <row r="7" spans="1:6" x14ac:dyDescent="0.25">
      <c r="A7" s="20" t="s">
        <v>154</v>
      </c>
      <c r="B7" s="21" t="s">
        <v>159</v>
      </c>
      <c r="C7" s="22">
        <v>2023</v>
      </c>
      <c r="D7" s="22">
        <v>438.23</v>
      </c>
      <c r="E7" s="20">
        <v>71.400000000000006</v>
      </c>
      <c r="F7" s="20">
        <v>844.21</v>
      </c>
    </row>
    <row r="8" spans="1:6" x14ac:dyDescent="0.25">
      <c r="A8" s="20" t="s">
        <v>154</v>
      </c>
      <c r="B8" s="21" t="s">
        <v>160</v>
      </c>
      <c r="C8" s="22">
        <v>59</v>
      </c>
      <c r="D8" s="22">
        <v>17.059999999999999</v>
      </c>
      <c r="E8" s="20">
        <v>71.400000000000006</v>
      </c>
      <c r="F8" s="20">
        <v>49.15</v>
      </c>
    </row>
    <row r="9" spans="1:6" x14ac:dyDescent="0.25">
      <c r="A9" s="20" t="s">
        <v>154</v>
      </c>
      <c r="B9" s="21" t="s">
        <v>161</v>
      </c>
      <c r="C9" s="22">
        <v>92</v>
      </c>
      <c r="D9" s="22">
        <v>23.81</v>
      </c>
      <c r="E9" s="20">
        <v>71.400000000000006</v>
      </c>
      <c r="F9" s="20">
        <v>62.4</v>
      </c>
    </row>
    <row r="10" spans="1:6" x14ac:dyDescent="0.25">
      <c r="A10" s="20" t="s">
        <v>154</v>
      </c>
      <c r="B10" s="21" t="s">
        <v>162</v>
      </c>
      <c r="C10" s="22">
        <v>1</v>
      </c>
      <c r="D10" s="22">
        <v>0</v>
      </c>
      <c r="E10" s="20">
        <v>71.400000000000006</v>
      </c>
      <c r="F10" s="20">
        <v>24.13</v>
      </c>
    </row>
    <row r="11" spans="1:6" x14ac:dyDescent="0.25">
      <c r="A11" s="20" t="s">
        <v>154</v>
      </c>
      <c r="B11" s="21" t="s">
        <v>163</v>
      </c>
      <c r="C11" s="22">
        <v>9</v>
      </c>
      <c r="D11" s="22">
        <v>0</v>
      </c>
      <c r="E11" s="20">
        <v>71.400000000000006</v>
      </c>
      <c r="F11" s="20">
        <v>26.8</v>
      </c>
    </row>
    <row r="12" spans="1:6" x14ac:dyDescent="0.25">
      <c r="A12" s="20" t="s">
        <v>154</v>
      </c>
      <c r="B12" s="21" t="s">
        <v>164</v>
      </c>
      <c r="C12" s="22">
        <v>4</v>
      </c>
      <c r="D12" s="22">
        <v>0</v>
      </c>
      <c r="E12" s="20">
        <v>71.400000000000006</v>
      </c>
      <c r="F12" s="20">
        <v>25.13</v>
      </c>
    </row>
    <row r="13" spans="1:6" x14ac:dyDescent="0.25">
      <c r="A13" s="20" t="s">
        <v>154</v>
      </c>
      <c r="B13" s="21" t="s">
        <v>165</v>
      </c>
      <c r="C13" s="22">
        <v>27</v>
      </c>
      <c r="D13" s="22">
        <v>2.69</v>
      </c>
      <c r="E13" s="20">
        <v>71.400000000000006</v>
      </c>
      <c r="F13" s="20">
        <v>33.700000000000003</v>
      </c>
    </row>
    <row r="14" spans="1:6" x14ac:dyDescent="0.25">
      <c r="A14" s="20" t="s">
        <v>154</v>
      </c>
      <c r="B14" s="21" t="s">
        <v>166</v>
      </c>
      <c r="C14" s="22">
        <v>951</v>
      </c>
      <c r="D14" s="22">
        <v>89</v>
      </c>
      <c r="E14" s="20">
        <v>71.400000000000006</v>
      </c>
      <c r="F14" s="20">
        <v>370.47</v>
      </c>
    </row>
    <row r="15" spans="1:6" x14ac:dyDescent="0.25">
      <c r="A15" s="20" t="s">
        <v>154</v>
      </c>
      <c r="B15" s="21" t="s">
        <v>167</v>
      </c>
      <c r="C15" s="22">
        <v>0</v>
      </c>
      <c r="D15" s="22">
        <v>0</v>
      </c>
      <c r="E15" s="20">
        <v>71.400000000000006</v>
      </c>
      <c r="F15" s="20">
        <v>23.8</v>
      </c>
    </row>
    <row r="16" spans="1:6" x14ac:dyDescent="0.25">
      <c r="A16" s="20" t="s">
        <v>154</v>
      </c>
      <c r="B16" s="21" t="s">
        <v>168</v>
      </c>
      <c r="C16" s="22">
        <v>73</v>
      </c>
      <c r="D16" s="22">
        <v>30.58</v>
      </c>
      <c r="E16" s="20">
        <v>71.400000000000006</v>
      </c>
      <c r="F16" s="20">
        <v>58.33</v>
      </c>
    </row>
    <row r="17" spans="1:6" x14ac:dyDescent="0.25">
      <c r="A17" s="20" t="s">
        <v>154</v>
      </c>
      <c r="B17" s="21" t="s">
        <v>169</v>
      </c>
      <c r="C17" s="22">
        <v>34</v>
      </c>
      <c r="D17" s="22">
        <v>0.13</v>
      </c>
      <c r="E17" s="20">
        <v>71.400000000000006</v>
      </c>
      <c r="F17" s="20">
        <v>35.18</v>
      </c>
    </row>
    <row r="18" spans="1:6" x14ac:dyDescent="0.25">
      <c r="A18" s="20" t="s">
        <v>154</v>
      </c>
      <c r="B18" s="21" t="s">
        <v>170</v>
      </c>
      <c r="C18" s="22">
        <v>49</v>
      </c>
      <c r="D18" s="22">
        <v>5.23</v>
      </c>
      <c r="E18" s="20">
        <v>71.400000000000006</v>
      </c>
      <c r="F18" s="20">
        <v>41.88</v>
      </c>
    </row>
    <row r="19" spans="1:6" x14ac:dyDescent="0.25">
      <c r="A19" s="20" t="s">
        <v>154</v>
      </c>
      <c r="B19" s="21" t="s">
        <v>171</v>
      </c>
      <c r="C19" s="22">
        <v>31</v>
      </c>
      <c r="D19" s="22">
        <v>0</v>
      </c>
      <c r="E19" s="20">
        <v>71.400000000000006</v>
      </c>
      <c r="F19" s="20">
        <v>34.130000000000003</v>
      </c>
    </row>
    <row r="20" spans="1:6" x14ac:dyDescent="0.25">
      <c r="A20" s="20" t="s">
        <v>154</v>
      </c>
      <c r="B20" s="21" t="s">
        <v>172</v>
      </c>
      <c r="C20" s="22">
        <v>100</v>
      </c>
      <c r="D20" s="22">
        <v>0</v>
      </c>
      <c r="E20" s="20">
        <v>71.400000000000006</v>
      </c>
      <c r="F20" s="20">
        <v>57.13</v>
      </c>
    </row>
    <row r="21" spans="1:6" x14ac:dyDescent="0.25">
      <c r="A21" s="20" t="s">
        <v>154</v>
      </c>
      <c r="B21" s="21" t="s">
        <v>173</v>
      </c>
      <c r="C21" s="22">
        <v>69</v>
      </c>
      <c r="D21" s="22">
        <v>4.55</v>
      </c>
      <c r="E21" s="20">
        <v>71.400000000000006</v>
      </c>
      <c r="F21" s="20">
        <v>48.32</v>
      </c>
    </row>
    <row r="22" spans="1:6" x14ac:dyDescent="0.25">
      <c r="A22" s="20" t="s">
        <v>154</v>
      </c>
      <c r="B22" s="21" t="s">
        <v>174</v>
      </c>
      <c r="C22" s="22">
        <v>58</v>
      </c>
      <c r="D22" s="22">
        <v>5.4</v>
      </c>
      <c r="E22" s="20">
        <v>71.400000000000006</v>
      </c>
      <c r="F22" s="20">
        <v>44.93</v>
      </c>
    </row>
    <row r="23" spans="1:6" x14ac:dyDescent="0.25">
      <c r="A23" s="20" t="s">
        <v>175</v>
      </c>
      <c r="B23" s="21" t="s">
        <v>176</v>
      </c>
      <c r="C23" s="22">
        <v>57</v>
      </c>
      <c r="D23" s="22">
        <v>11.03</v>
      </c>
      <c r="E23" s="20">
        <v>71.400000000000006</v>
      </c>
      <c r="F23" s="20">
        <v>46.48</v>
      </c>
    </row>
    <row r="24" spans="1:6" x14ac:dyDescent="0.25">
      <c r="A24" s="20" t="s">
        <v>175</v>
      </c>
      <c r="B24" s="21" t="s">
        <v>177</v>
      </c>
      <c r="C24" s="22">
        <v>99</v>
      </c>
      <c r="D24" s="22">
        <v>0</v>
      </c>
      <c r="E24" s="20">
        <v>71.400000000000006</v>
      </c>
      <c r="F24" s="20">
        <v>56.8</v>
      </c>
    </row>
    <row r="25" spans="1:6" x14ac:dyDescent="0.25">
      <c r="A25" s="20" t="s">
        <v>175</v>
      </c>
      <c r="B25" s="21" t="s">
        <v>178</v>
      </c>
      <c r="C25" s="22">
        <v>43</v>
      </c>
      <c r="D25" s="22">
        <v>21.23</v>
      </c>
      <c r="E25" s="20">
        <v>71.400000000000006</v>
      </c>
      <c r="F25" s="20">
        <v>45.21</v>
      </c>
    </row>
    <row r="26" spans="1:6" x14ac:dyDescent="0.25">
      <c r="A26" s="20" t="s">
        <v>175</v>
      </c>
      <c r="B26" s="21" t="s">
        <v>179</v>
      </c>
      <c r="C26" s="22">
        <v>77</v>
      </c>
      <c r="D26" s="22">
        <v>22.49</v>
      </c>
      <c r="E26" s="20">
        <v>71.400000000000006</v>
      </c>
      <c r="F26" s="20">
        <v>56.96</v>
      </c>
    </row>
    <row r="27" spans="1:6" x14ac:dyDescent="0.25">
      <c r="A27" s="20" t="s">
        <v>175</v>
      </c>
      <c r="B27" s="21" t="s">
        <v>180</v>
      </c>
      <c r="C27" s="22">
        <v>27</v>
      </c>
      <c r="D27" s="22">
        <v>8.76</v>
      </c>
      <c r="E27" s="20">
        <v>71.400000000000006</v>
      </c>
      <c r="F27" s="20">
        <v>35.72</v>
      </c>
    </row>
    <row r="28" spans="1:6" x14ac:dyDescent="0.25">
      <c r="A28" s="20" t="s">
        <v>175</v>
      </c>
      <c r="B28" s="21" t="s">
        <v>181</v>
      </c>
      <c r="C28" s="22">
        <v>26</v>
      </c>
      <c r="D28" s="22">
        <v>6.89</v>
      </c>
      <c r="E28" s="20">
        <v>71.400000000000006</v>
      </c>
      <c r="F28" s="20">
        <v>34.76</v>
      </c>
    </row>
    <row r="29" spans="1:6" x14ac:dyDescent="0.25">
      <c r="A29" s="20" t="s">
        <v>182</v>
      </c>
      <c r="B29" s="21" t="s">
        <v>183</v>
      </c>
      <c r="C29" s="22">
        <v>0</v>
      </c>
      <c r="D29" s="22">
        <v>0</v>
      </c>
      <c r="E29" s="20">
        <v>71.400000000000006</v>
      </c>
      <c r="F29" s="20">
        <v>23.8</v>
      </c>
    </row>
    <row r="30" spans="1:6" x14ac:dyDescent="0.25">
      <c r="A30" s="20" t="s">
        <v>182</v>
      </c>
      <c r="B30" s="21" t="s">
        <v>184</v>
      </c>
      <c r="C30" s="22">
        <v>0</v>
      </c>
      <c r="D30" s="22">
        <v>0</v>
      </c>
      <c r="E30" s="20">
        <v>71.400000000000006</v>
      </c>
      <c r="F30" s="20">
        <v>23.8</v>
      </c>
    </row>
    <row r="31" spans="1:6" x14ac:dyDescent="0.25">
      <c r="A31" s="20" t="s">
        <v>185</v>
      </c>
      <c r="B31" s="21" t="s">
        <v>186</v>
      </c>
      <c r="C31" s="22">
        <v>4</v>
      </c>
      <c r="D31" s="22">
        <v>0</v>
      </c>
      <c r="E31" s="20">
        <v>71.400000000000006</v>
      </c>
      <c r="F31" s="20">
        <v>25.13</v>
      </c>
    </row>
    <row r="32" spans="1:6" x14ac:dyDescent="0.25">
      <c r="A32" s="20" t="s">
        <v>185</v>
      </c>
      <c r="B32" s="21" t="s">
        <v>187</v>
      </c>
      <c r="C32" s="22">
        <v>0</v>
      </c>
      <c r="D32" s="22">
        <v>0</v>
      </c>
      <c r="E32" s="20">
        <v>71.400000000000006</v>
      </c>
      <c r="F32" s="20">
        <v>23.8</v>
      </c>
    </row>
    <row r="33" spans="1:6" x14ac:dyDescent="0.25">
      <c r="A33" s="20" t="s">
        <v>185</v>
      </c>
      <c r="B33" s="21" t="s">
        <v>188</v>
      </c>
      <c r="C33" s="22">
        <v>198</v>
      </c>
      <c r="D33" s="22">
        <v>418.76</v>
      </c>
      <c r="E33" s="20">
        <v>71.400000000000006</v>
      </c>
      <c r="F33" s="20">
        <v>229.39</v>
      </c>
    </row>
    <row r="34" spans="1:6" x14ac:dyDescent="0.25">
      <c r="A34" s="20" t="s">
        <v>185</v>
      </c>
      <c r="B34" s="21" t="s">
        <v>189</v>
      </c>
      <c r="C34" s="22">
        <v>97</v>
      </c>
      <c r="D34" s="22">
        <v>276.82</v>
      </c>
      <c r="E34" s="20">
        <v>71.400000000000006</v>
      </c>
      <c r="F34" s="20">
        <v>148.41</v>
      </c>
    </row>
    <row r="35" spans="1:6" x14ac:dyDescent="0.25">
      <c r="A35" s="20" t="s">
        <v>185</v>
      </c>
      <c r="B35" s="21" t="s">
        <v>159</v>
      </c>
      <c r="C35" s="22">
        <v>29</v>
      </c>
      <c r="D35" s="22">
        <v>40.04</v>
      </c>
      <c r="E35" s="20">
        <v>71.400000000000006</v>
      </c>
      <c r="F35" s="20">
        <v>46.81</v>
      </c>
    </row>
    <row r="36" spans="1:6" x14ac:dyDescent="0.25">
      <c r="A36" s="20" t="s">
        <v>185</v>
      </c>
      <c r="B36" s="21" t="s">
        <v>190</v>
      </c>
      <c r="C36" s="22">
        <v>0</v>
      </c>
      <c r="D36" s="22">
        <v>0</v>
      </c>
      <c r="E36" s="20">
        <v>71.400000000000006</v>
      </c>
      <c r="F36" s="20">
        <v>23.8</v>
      </c>
    </row>
    <row r="37" spans="1:6" x14ac:dyDescent="0.25">
      <c r="A37" s="20" t="s">
        <v>185</v>
      </c>
      <c r="B37" s="21" t="s">
        <v>191</v>
      </c>
      <c r="C37" s="22">
        <v>93</v>
      </c>
      <c r="D37" s="22">
        <v>94.87</v>
      </c>
      <c r="E37" s="20">
        <v>71.400000000000006</v>
      </c>
      <c r="F37" s="20">
        <v>86.42</v>
      </c>
    </row>
    <row r="38" spans="1:6" x14ac:dyDescent="0.25">
      <c r="A38" s="20" t="s">
        <v>185</v>
      </c>
      <c r="B38" s="21" t="s">
        <v>192</v>
      </c>
      <c r="C38" s="22">
        <v>0</v>
      </c>
      <c r="D38" s="22">
        <v>0</v>
      </c>
      <c r="E38" s="20">
        <v>71.400000000000006</v>
      </c>
      <c r="F38" s="20">
        <v>23.8</v>
      </c>
    </row>
    <row r="39" spans="1:6" x14ac:dyDescent="0.25">
      <c r="A39" s="20" t="s">
        <v>185</v>
      </c>
      <c r="B39" s="21" t="s">
        <v>193</v>
      </c>
      <c r="C39" s="22">
        <v>0</v>
      </c>
      <c r="D39" s="22">
        <v>0</v>
      </c>
      <c r="E39" s="20">
        <v>71.400000000000006</v>
      </c>
      <c r="F39" s="20">
        <v>23.8</v>
      </c>
    </row>
    <row r="40" spans="1:6" x14ac:dyDescent="0.25">
      <c r="A40" s="20" t="s">
        <v>185</v>
      </c>
      <c r="B40" s="21" t="s">
        <v>194</v>
      </c>
      <c r="C40" s="22">
        <v>23</v>
      </c>
      <c r="D40" s="22">
        <v>63.38</v>
      </c>
      <c r="E40" s="20">
        <v>71.400000000000006</v>
      </c>
      <c r="F40" s="20">
        <v>52.59</v>
      </c>
    </row>
    <row r="41" spans="1:6" x14ac:dyDescent="0.25">
      <c r="A41" s="20" t="s">
        <v>185</v>
      </c>
      <c r="B41" s="21" t="s">
        <v>195</v>
      </c>
      <c r="C41" s="22">
        <v>100</v>
      </c>
      <c r="D41" s="22">
        <v>0</v>
      </c>
      <c r="E41" s="20">
        <v>71.400000000000006</v>
      </c>
      <c r="F41" s="20">
        <v>57.13</v>
      </c>
    </row>
    <row r="42" spans="1:6" x14ac:dyDescent="0.25">
      <c r="A42" s="20" t="s">
        <v>185</v>
      </c>
      <c r="B42" s="21" t="s">
        <v>196</v>
      </c>
      <c r="C42" s="22">
        <v>4</v>
      </c>
      <c r="D42" s="22">
        <v>0</v>
      </c>
      <c r="E42" s="20">
        <v>71.400000000000006</v>
      </c>
      <c r="F42" s="20">
        <v>25.13</v>
      </c>
    </row>
    <row r="43" spans="1:6" x14ac:dyDescent="0.25">
      <c r="A43" s="20" t="s">
        <v>197</v>
      </c>
      <c r="B43" s="21" t="s">
        <v>198</v>
      </c>
      <c r="C43" s="22">
        <v>417</v>
      </c>
      <c r="D43" s="22">
        <v>36.81</v>
      </c>
      <c r="E43" s="20">
        <v>71.400000000000006</v>
      </c>
      <c r="F43" s="20">
        <v>175.07</v>
      </c>
    </row>
    <row r="44" spans="1:6" x14ac:dyDescent="0.25">
      <c r="A44" s="20" t="s">
        <v>197</v>
      </c>
      <c r="B44" s="21" t="s">
        <v>199</v>
      </c>
      <c r="C44" s="22">
        <v>472</v>
      </c>
      <c r="D44" s="22">
        <v>67.09</v>
      </c>
      <c r="E44" s="20">
        <v>71.400000000000006</v>
      </c>
      <c r="F44" s="20">
        <v>203.5</v>
      </c>
    </row>
    <row r="45" spans="1:6" x14ac:dyDescent="0.25">
      <c r="A45" s="20" t="s">
        <v>197</v>
      </c>
      <c r="B45" s="21" t="s">
        <v>200</v>
      </c>
      <c r="C45" s="22">
        <v>13831</v>
      </c>
      <c r="D45" s="22">
        <v>0</v>
      </c>
      <c r="E45" s="20">
        <v>71.400000000000006</v>
      </c>
      <c r="F45" s="20">
        <v>4634.13</v>
      </c>
    </row>
    <row r="46" spans="1:6" x14ac:dyDescent="0.25">
      <c r="A46" s="20" t="s">
        <v>197</v>
      </c>
      <c r="B46" s="21" t="s">
        <v>201</v>
      </c>
      <c r="C46" s="22">
        <v>400</v>
      </c>
      <c r="D46" s="22">
        <v>14.99</v>
      </c>
      <c r="E46" s="20">
        <v>71.400000000000006</v>
      </c>
      <c r="F46" s="20">
        <v>162.13</v>
      </c>
    </row>
    <row r="47" spans="1:6" x14ac:dyDescent="0.25">
      <c r="A47" s="20" t="s">
        <v>197</v>
      </c>
      <c r="B47" s="21" t="s">
        <v>202</v>
      </c>
      <c r="C47" s="22">
        <v>0</v>
      </c>
      <c r="D47" s="22">
        <v>0</v>
      </c>
      <c r="E47" s="20">
        <v>71.400000000000006</v>
      </c>
      <c r="F47" s="20">
        <v>23.8</v>
      </c>
    </row>
    <row r="48" spans="1:6" x14ac:dyDescent="0.25">
      <c r="A48" s="20" t="s">
        <v>197</v>
      </c>
      <c r="B48" s="21" t="s">
        <v>203</v>
      </c>
      <c r="C48" s="22">
        <v>475</v>
      </c>
      <c r="D48" s="22">
        <v>159.6</v>
      </c>
      <c r="E48" s="20">
        <v>71.400000000000006</v>
      </c>
      <c r="F48" s="20">
        <v>235.33</v>
      </c>
    </row>
    <row r="49" spans="1:6" x14ac:dyDescent="0.25">
      <c r="A49" s="20" t="s">
        <v>197</v>
      </c>
      <c r="B49" s="21" t="s">
        <v>204</v>
      </c>
      <c r="C49" s="22">
        <v>523</v>
      </c>
      <c r="D49" s="22">
        <v>17.239999999999998</v>
      </c>
      <c r="E49" s="20">
        <v>71.400000000000006</v>
      </c>
      <c r="F49" s="20">
        <v>203.88</v>
      </c>
    </row>
    <row r="50" spans="1:6" x14ac:dyDescent="0.25">
      <c r="A50" s="20" t="s">
        <v>197</v>
      </c>
      <c r="B50" s="21" t="s">
        <v>187</v>
      </c>
      <c r="C50" s="22">
        <v>257</v>
      </c>
      <c r="D50" s="22">
        <v>0</v>
      </c>
      <c r="E50" s="20">
        <v>71.400000000000006</v>
      </c>
      <c r="F50" s="20">
        <v>109.47</v>
      </c>
    </row>
    <row r="51" spans="1:6" x14ac:dyDescent="0.25">
      <c r="A51" s="20" t="s">
        <v>197</v>
      </c>
      <c r="B51" s="21" t="s">
        <v>205</v>
      </c>
      <c r="C51" s="22">
        <v>46</v>
      </c>
      <c r="D51" s="22">
        <v>11.91</v>
      </c>
      <c r="E51" s="20">
        <v>71.400000000000006</v>
      </c>
      <c r="F51" s="20">
        <v>43.1</v>
      </c>
    </row>
    <row r="52" spans="1:6" x14ac:dyDescent="0.25">
      <c r="A52" s="20" t="s">
        <v>197</v>
      </c>
      <c r="B52" s="21" t="s">
        <v>206</v>
      </c>
      <c r="C52" s="22">
        <v>55</v>
      </c>
      <c r="D52" s="22">
        <v>0</v>
      </c>
      <c r="E52" s="20">
        <v>71.400000000000006</v>
      </c>
      <c r="F52" s="20">
        <v>42.13</v>
      </c>
    </row>
    <row r="53" spans="1:6" x14ac:dyDescent="0.25">
      <c r="A53" s="20" t="s">
        <v>197</v>
      </c>
      <c r="B53" s="21" t="s">
        <v>207</v>
      </c>
      <c r="C53" s="22">
        <v>82</v>
      </c>
      <c r="D53" s="22">
        <v>0</v>
      </c>
      <c r="E53" s="20">
        <v>71.400000000000006</v>
      </c>
      <c r="F53" s="20">
        <v>51.13</v>
      </c>
    </row>
    <row r="54" spans="1:6" x14ac:dyDescent="0.25">
      <c r="A54" s="20" t="s">
        <v>197</v>
      </c>
      <c r="B54" s="21" t="s">
        <v>208</v>
      </c>
      <c r="C54" s="22">
        <v>338</v>
      </c>
      <c r="D54" s="22">
        <v>58.25</v>
      </c>
      <c r="E54" s="20">
        <v>71.400000000000006</v>
      </c>
      <c r="F54" s="20">
        <v>155.88</v>
      </c>
    </row>
    <row r="55" spans="1:6" x14ac:dyDescent="0.25">
      <c r="A55" s="20" t="s">
        <v>197</v>
      </c>
      <c r="B55" s="21" t="s">
        <v>209</v>
      </c>
      <c r="C55" s="22">
        <v>127</v>
      </c>
      <c r="D55" s="22">
        <v>0</v>
      </c>
      <c r="E55" s="20">
        <v>71.400000000000006</v>
      </c>
      <c r="F55" s="20">
        <v>66.13</v>
      </c>
    </row>
    <row r="56" spans="1:6" x14ac:dyDescent="0.25">
      <c r="A56" s="20" t="s">
        <v>197</v>
      </c>
      <c r="B56" s="21" t="s">
        <v>210</v>
      </c>
      <c r="C56" s="22">
        <v>80</v>
      </c>
      <c r="D56" s="22">
        <v>22.69</v>
      </c>
      <c r="E56" s="20">
        <v>71.400000000000006</v>
      </c>
      <c r="F56" s="20">
        <v>58.03</v>
      </c>
    </row>
    <row r="57" spans="1:6" x14ac:dyDescent="0.25">
      <c r="A57" s="20" t="s">
        <v>197</v>
      </c>
      <c r="B57" s="21" t="s">
        <v>211</v>
      </c>
      <c r="C57" s="22">
        <v>109</v>
      </c>
      <c r="D57" s="22">
        <v>1.59</v>
      </c>
      <c r="E57" s="20">
        <v>71.400000000000006</v>
      </c>
      <c r="F57" s="20">
        <v>60.66</v>
      </c>
    </row>
    <row r="58" spans="1:6" x14ac:dyDescent="0.25">
      <c r="A58" s="20" t="s">
        <v>197</v>
      </c>
      <c r="B58" s="21" t="s">
        <v>212</v>
      </c>
      <c r="C58" s="22">
        <v>380</v>
      </c>
      <c r="D58" s="22">
        <v>52.21</v>
      </c>
      <c r="E58" s="20">
        <v>71.400000000000006</v>
      </c>
      <c r="F58" s="20">
        <v>167.87</v>
      </c>
    </row>
    <row r="59" spans="1:6" x14ac:dyDescent="0.25">
      <c r="A59" s="20" t="s">
        <v>197</v>
      </c>
      <c r="B59" s="21" t="s">
        <v>183</v>
      </c>
      <c r="C59" s="22">
        <v>100</v>
      </c>
      <c r="D59" s="22">
        <v>0</v>
      </c>
      <c r="E59" s="20">
        <v>71.400000000000006</v>
      </c>
      <c r="F59" s="20">
        <v>57.13</v>
      </c>
    </row>
    <row r="60" spans="1:6" x14ac:dyDescent="0.25">
      <c r="A60" s="20" t="s">
        <v>197</v>
      </c>
      <c r="B60" s="21" t="s">
        <v>213</v>
      </c>
      <c r="C60" s="22">
        <v>1386</v>
      </c>
      <c r="D60" s="22">
        <v>318.72000000000003</v>
      </c>
      <c r="E60" s="20">
        <v>71.400000000000006</v>
      </c>
      <c r="F60" s="20">
        <v>592.04</v>
      </c>
    </row>
    <row r="61" spans="1:6" x14ac:dyDescent="0.25">
      <c r="A61" s="20" t="s">
        <v>197</v>
      </c>
      <c r="B61" s="21" t="s">
        <v>214</v>
      </c>
      <c r="C61" s="22">
        <v>376</v>
      </c>
      <c r="D61" s="22">
        <v>83.57</v>
      </c>
      <c r="E61" s="20">
        <v>71.400000000000006</v>
      </c>
      <c r="F61" s="20">
        <v>176.99</v>
      </c>
    </row>
    <row r="62" spans="1:6" x14ac:dyDescent="0.25">
      <c r="A62" s="20" t="s">
        <v>197</v>
      </c>
      <c r="B62" s="21" t="s">
        <v>215</v>
      </c>
      <c r="C62" s="22">
        <v>806</v>
      </c>
      <c r="D62" s="22">
        <v>127.78</v>
      </c>
      <c r="E62" s="20">
        <v>71.400000000000006</v>
      </c>
      <c r="F62" s="20">
        <v>335.06</v>
      </c>
    </row>
    <row r="63" spans="1:6" x14ac:dyDescent="0.25">
      <c r="A63" s="20" t="s">
        <v>197</v>
      </c>
      <c r="B63" s="21" t="s">
        <v>216</v>
      </c>
      <c r="C63" s="22">
        <v>577</v>
      </c>
      <c r="D63" s="22">
        <v>133.66999999999999</v>
      </c>
      <c r="E63" s="20">
        <v>71.400000000000006</v>
      </c>
      <c r="F63" s="20">
        <v>260.69</v>
      </c>
    </row>
    <row r="64" spans="1:6" x14ac:dyDescent="0.25">
      <c r="A64" s="20" t="s">
        <v>197</v>
      </c>
      <c r="B64" s="21" t="s">
        <v>217</v>
      </c>
      <c r="C64" s="22">
        <v>544</v>
      </c>
      <c r="D64" s="22">
        <v>57.58</v>
      </c>
      <c r="E64" s="20">
        <v>71.400000000000006</v>
      </c>
      <c r="F64" s="20">
        <v>224.33</v>
      </c>
    </row>
    <row r="65" spans="1:6" x14ac:dyDescent="0.25">
      <c r="A65" s="20" t="s">
        <v>197</v>
      </c>
      <c r="B65" s="21" t="s">
        <v>218</v>
      </c>
      <c r="C65" s="22">
        <v>93</v>
      </c>
      <c r="D65" s="22">
        <v>26.92</v>
      </c>
      <c r="E65" s="20">
        <v>71.400000000000006</v>
      </c>
      <c r="F65" s="20">
        <v>63.77</v>
      </c>
    </row>
    <row r="66" spans="1:6" x14ac:dyDescent="0.25">
      <c r="A66" s="20" t="s">
        <v>197</v>
      </c>
      <c r="B66" s="21" t="s">
        <v>219</v>
      </c>
      <c r="C66" s="22">
        <v>19</v>
      </c>
      <c r="D66" s="22">
        <v>0.01</v>
      </c>
      <c r="E66" s="20">
        <v>71.400000000000006</v>
      </c>
      <c r="F66" s="20">
        <v>30.14</v>
      </c>
    </row>
    <row r="67" spans="1:6" x14ac:dyDescent="0.25">
      <c r="A67" s="20" t="s">
        <v>197</v>
      </c>
      <c r="B67" s="21" t="s">
        <v>220</v>
      </c>
      <c r="C67" s="22">
        <v>33</v>
      </c>
      <c r="D67" s="22">
        <v>1.21</v>
      </c>
      <c r="E67" s="20">
        <v>71.400000000000006</v>
      </c>
      <c r="F67" s="20">
        <v>35.200000000000003</v>
      </c>
    </row>
    <row r="68" spans="1:6" x14ac:dyDescent="0.25">
      <c r="A68" s="20" t="s">
        <v>197</v>
      </c>
      <c r="B68" s="21" t="s">
        <v>221</v>
      </c>
      <c r="C68" s="22">
        <v>312</v>
      </c>
      <c r="D68" s="22">
        <v>0</v>
      </c>
      <c r="E68" s="20">
        <v>71.400000000000006</v>
      </c>
      <c r="F68" s="20">
        <v>127.8</v>
      </c>
    </row>
    <row r="69" spans="1:6" x14ac:dyDescent="0.25">
      <c r="A69" s="20" t="s">
        <v>197</v>
      </c>
      <c r="B69" s="21" t="s">
        <v>222</v>
      </c>
      <c r="C69" s="22">
        <v>248</v>
      </c>
      <c r="D69" s="22">
        <v>49.01</v>
      </c>
      <c r="E69" s="20">
        <v>71.400000000000006</v>
      </c>
      <c r="F69" s="20">
        <v>122.8</v>
      </c>
    </row>
    <row r="70" spans="1:6" x14ac:dyDescent="0.25">
      <c r="A70" s="20" t="s">
        <v>223</v>
      </c>
      <c r="B70" s="21" t="s">
        <v>224</v>
      </c>
      <c r="C70" s="22">
        <v>43</v>
      </c>
      <c r="D70" s="22">
        <v>0.01</v>
      </c>
      <c r="E70" s="20">
        <v>71.400000000000006</v>
      </c>
      <c r="F70" s="20">
        <v>38.14</v>
      </c>
    </row>
    <row r="71" spans="1:6" x14ac:dyDescent="0.25">
      <c r="A71" s="20" t="s">
        <v>223</v>
      </c>
      <c r="B71" s="21" t="s">
        <v>225</v>
      </c>
      <c r="C71" s="22">
        <v>2</v>
      </c>
      <c r="D71" s="22">
        <v>0</v>
      </c>
      <c r="E71" s="20">
        <v>71.400000000000006</v>
      </c>
      <c r="F71" s="20">
        <v>24.47</v>
      </c>
    </row>
    <row r="72" spans="1:6" x14ac:dyDescent="0.25">
      <c r="A72" s="20" t="s">
        <v>223</v>
      </c>
      <c r="B72" s="21" t="s">
        <v>226</v>
      </c>
      <c r="C72" s="22">
        <v>1</v>
      </c>
      <c r="D72" s="22">
        <v>0</v>
      </c>
      <c r="E72" s="20">
        <v>71.400000000000006</v>
      </c>
      <c r="F72" s="20">
        <v>24.13</v>
      </c>
    </row>
    <row r="73" spans="1:6" x14ac:dyDescent="0.25">
      <c r="A73" s="20" t="s">
        <v>223</v>
      </c>
      <c r="B73" s="21" t="s">
        <v>227</v>
      </c>
      <c r="C73" s="22">
        <v>71</v>
      </c>
      <c r="D73" s="22">
        <v>0</v>
      </c>
      <c r="E73" s="20">
        <v>71.400000000000006</v>
      </c>
      <c r="F73" s="20">
        <v>47.47</v>
      </c>
    </row>
    <row r="74" spans="1:6" x14ac:dyDescent="0.25">
      <c r="A74" s="20" t="s">
        <v>223</v>
      </c>
      <c r="B74" s="21" t="s">
        <v>201</v>
      </c>
      <c r="C74" s="22">
        <v>24</v>
      </c>
      <c r="D74" s="22">
        <v>6.81</v>
      </c>
      <c r="E74" s="20">
        <v>71.400000000000006</v>
      </c>
      <c r="F74" s="20">
        <v>34.07</v>
      </c>
    </row>
    <row r="75" spans="1:6" x14ac:dyDescent="0.25">
      <c r="A75" s="20" t="s">
        <v>223</v>
      </c>
      <c r="B75" s="21" t="s">
        <v>228</v>
      </c>
      <c r="C75" s="22">
        <v>1022</v>
      </c>
      <c r="D75" s="22">
        <v>189.46</v>
      </c>
      <c r="E75" s="20">
        <v>71.400000000000006</v>
      </c>
      <c r="F75" s="20">
        <v>427.62</v>
      </c>
    </row>
    <row r="76" spans="1:6" x14ac:dyDescent="0.25">
      <c r="A76" s="20" t="s">
        <v>223</v>
      </c>
      <c r="B76" s="21" t="s">
        <v>187</v>
      </c>
      <c r="C76" s="22">
        <v>14</v>
      </c>
      <c r="D76" s="22">
        <v>1.8</v>
      </c>
      <c r="E76" s="20">
        <v>71.400000000000006</v>
      </c>
      <c r="F76" s="20">
        <v>29.07</v>
      </c>
    </row>
    <row r="77" spans="1:6" x14ac:dyDescent="0.25">
      <c r="A77" s="20" t="s">
        <v>223</v>
      </c>
      <c r="B77" s="21" t="s">
        <v>229</v>
      </c>
      <c r="C77" s="22">
        <v>0</v>
      </c>
      <c r="D77" s="22">
        <v>0</v>
      </c>
      <c r="E77" s="20">
        <v>71.400000000000006</v>
      </c>
      <c r="F77" s="20">
        <v>23.8</v>
      </c>
    </row>
    <row r="78" spans="1:6" x14ac:dyDescent="0.25">
      <c r="A78" s="20" t="s">
        <v>223</v>
      </c>
      <c r="B78" s="21" t="s">
        <v>230</v>
      </c>
      <c r="C78" s="22">
        <v>98</v>
      </c>
      <c r="D78" s="22">
        <v>5.66</v>
      </c>
      <c r="E78" s="20">
        <v>71.400000000000006</v>
      </c>
      <c r="F78" s="20">
        <v>58.35</v>
      </c>
    </row>
    <row r="79" spans="1:6" x14ac:dyDescent="0.25">
      <c r="A79" s="20" t="s">
        <v>223</v>
      </c>
      <c r="B79" s="21" t="s">
        <v>231</v>
      </c>
      <c r="C79" s="22">
        <v>117</v>
      </c>
      <c r="D79" s="22">
        <v>55.32</v>
      </c>
      <c r="E79" s="20">
        <v>71.400000000000006</v>
      </c>
      <c r="F79" s="20">
        <v>81.239999999999995</v>
      </c>
    </row>
    <row r="80" spans="1:6" x14ac:dyDescent="0.25">
      <c r="A80" s="20" t="s">
        <v>223</v>
      </c>
      <c r="B80" s="21" t="s">
        <v>232</v>
      </c>
      <c r="C80" s="22">
        <v>189</v>
      </c>
      <c r="D80" s="22">
        <v>0</v>
      </c>
      <c r="E80" s="20">
        <v>71.400000000000006</v>
      </c>
      <c r="F80" s="20">
        <v>86.8</v>
      </c>
    </row>
    <row r="81" spans="1:6" x14ac:dyDescent="0.25">
      <c r="A81" s="20" t="s">
        <v>223</v>
      </c>
      <c r="B81" s="21" t="s">
        <v>233</v>
      </c>
      <c r="C81" s="22">
        <v>75</v>
      </c>
      <c r="D81" s="22">
        <v>0</v>
      </c>
      <c r="E81" s="20">
        <v>71.400000000000006</v>
      </c>
      <c r="F81" s="20">
        <v>48.8</v>
      </c>
    </row>
    <row r="82" spans="1:6" x14ac:dyDescent="0.25">
      <c r="A82" s="20" t="s">
        <v>223</v>
      </c>
      <c r="B82" s="21" t="s">
        <v>234</v>
      </c>
      <c r="C82" s="22">
        <v>487</v>
      </c>
      <c r="D82" s="22">
        <v>58.29</v>
      </c>
      <c r="E82" s="20">
        <v>71.400000000000006</v>
      </c>
      <c r="F82" s="20">
        <v>205.56</v>
      </c>
    </row>
    <row r="83" spans="1:6" x14ac:dyDescent="0.25">
      <c r="A83" s="20" t="s">
        <v>223</v>
      </c>
      <c r="B83" s="21" t="s">
        <v>235</v>
      </c>
      <c r="C83" s="22">
        <v>100</v>
      </c>
      <c r="D83" s="22">
        <v>0</v>
      </c>
      <c r="E83" s="20">
        <v>71.400000000000006</v>
      </c>
      <c r="F83" s="20">
        <v>57.13</v>
      </c>
    </row>
    <row r="84" spans="1:6" x14ac:dyDescent="0.25">
      <c r="A84" s="20" t="s">
        <v>223</v>
      </c>
      <c r="B84" s="21" t="s">
        <v>236</v>
      </c>
      <c r="C84" s="22">
        <v>90</v>
      </c>
      <c r="D84" s="22">
        <v>26.93</v>
      </c>
      <c r="E84" s="20">
        <v>71.400000000000006</v>
      </c>
      <c r="F84" s="20">
        <v>62.78</v>
      </c>
    </row>
    <row r="85" spans="1:6" x14ac:dyDescent="0.25">
      <c r="A85" s="20" t="s">
        <v>223</v>
      </c>
      <c r="B85" s="21" t="s">
        <v>237</v>
      </c>
      <c r="C85" s="22">
        <v>175</v>
      </c>
      <c r="D85" s="22">
        <v>0</v>
      </c>
      <c r="E85" s="20">
        <v>71.400000000000006</v>
      </c>
      <c r="F85" s="20">
        <v>82.13</v>
      </c>
    </row>
    <row r="86" spans="1:6" x14ac:dyDescent="0.25">
      <c r="A86" s="20" t="s">
        <v>223</v>
      </c>
      <c r="B86" s="21" t="s">
        <v>183</v>
      </c>
      <c r="C86" s="22">
        <v>58</v>
      </c>
      <c r="D86" s="22">
        <v>8.82</v>
      </c>
      <c r="E86" s="20">
        <v>71.400000000000006</v>
      </c>
      <c r="F86" s="20">
        <v>46.07</v>
      </c>
    </row>
    <row r="87" spans="1:6" x14ac:dyDescent="0.25">
      <c r="A87" s="20" t="s">
        <v>223</v>
      </c>
      <c r="B87" s="21" t="s">
        <v>238</v>
      </c>
      <c r="C87" s="22">
        <v>100</v>
      </c>
      <c r="D87" s="22">
        <v>0</v>
      </c>
      <c r="E87" s="20">
        <v>71.400000000000006</v>
      </c>
      <c r="F87" s="20">
        <v>57.13</v>
      </c>
    </row>
    <row r="88" spans="1:6" x14ac:dyDescent="0.25">
      <c r="A88" s="20" t="s">
        <v>223</v>
      </c>
      <c r="B88" s="21" t="s">
        <v>239</v>
      </c>
      <c r="C88" s="22">
        <v>10</v>
      </c>
      <c r="D88" s="22">
        <v>0</v>
      </c>
      <c r="E88" s="20">
        <v>71.400000000000006</v>
      </c>
      <c r="F88" s="20">
        <v>27.13</v>
      </c>
    </row>
    <row r="89" spans="1:6" x14ac:dyDescent="0.25">
      <c r="A89" s="20" t="s">
        <v>223</v>
      </c>
      <c r="B89" s="21" t="s">
        <v>240</v>
      </c>
      <c r="C89" s="22">
        <v>0</v>
      </c>
      <c r="D89" s="22">
        <v>0</v>
      </c>
      <c r="E89" s="20">
        <v>71.400000000000006</v>
      </c>
      <c r="F89" s="20">
        <v>23.8</v>
      </c>
    </row>
    <row r="90" spans="1:6" x14ac:dyDescent="0.25">
      <c r="A90" s="20" t="s">
        <v>223</v>
      </c>
      <c r="B90" s="21" t="s">
        <v>241</v>
      </c>
      <c r="C90" s="22">
        <v>193</v>
      </c>
      <c r="D90" s="22">
        <v>0</v>
      </c>
      <c r="E90" s="20">
        <v>71.400000000000006</v>
      </c>
      <c r="F90" s="20">
        <v>88.13</v>
      </c>
    </row>
    <row r="91" spans="1:6" x14ac:dyDescent="0.25">
      <c r="A91" s="20" t="s">
        <v>223</v>
      </c>
      <c r="B91" s="21" t="s">
        <v>242</v>
      </c>
      <c r="C91" s="22">
        <v>32</v>
      </c>
      <c r="D91" s="22">
        <v>0</v>
      </c>
      <c r="E91" s="20">
        <v>71.400000000000006</v>
      </c>
      <c r="F91" s="20">
        <v>34.47</v>
      </c>
    </row>
    <row r="92" spans="1:6" x14ac:dyDescent="0.25">
      <c r="A92" s="20" t="s">
        <v>223</v>
      </c>
      <c r="B92" s="21" t="s">
        <v>243</v>
      </c>
      <c r="C92" s="22">
        <v>459</v>
      </c>
      <c r="D92" s="22">
        <v>115.92</v>
      </c>
      <c r="E92" s="20">
        <v>71.400000000000006</v>
      </c>
      <c r="F92" s="20">
        <v>215.44</v>
      </c>
    </row>
    <row r="93" spans="1:6" x14ac:dyDescent="0.25">
      <c r="A93" s="20" t="s">
        <v>223</v>
      </c>
      <c r="B93" s="21" t="s">
        <v>244</v>
      </c>
      <c r="C93" s="22">
        <v>100</v>
      </c>
      <c r="D93" s="22">
        <v>0</v>
      </c>
      <c r="E93" s="20">
        <v>71.400000000000006</v>
      </c>
      <c r="F93" s="20">
        <v>57.13</v>
      </c>
    </row>
    <row r="94" spans="1:6" x14ac:dyDescent="0.25">
      <c r="A94" s="20" t="s">
        <v>223</v>
      </c>
      <c r="B94" s="21" t="s">
        <v>245</v>
      </c>
      <c r="C94" s="22">
        <v>104</v>
      </c>
      <c r="D94" s="22">
        <v>0.01</v>
      </c>
      <c r="E94" s="20">
        <v>71.400000000000006</v>
      </c>
      <c r="F94" s="20">
        <v>58.47</v>
      </c>
    </row>
    <row r="95" spans="1:6" x14ac:dyDescent="0.25">
      <c r="A95" s="20" t="s">
        <v>223</v>
      </c>
      <c r="B95" s="21" t="s">
        <v>246</v>
      </c>
      <c r="C95" s="22">
        <v>45</v>
      </c>
      <c r="D95" s="22">
        <v>11.07</v>
      </c>
      <c r="E95" s="20">
        <v>71.400000000000006</v>
      </c>
      <c r="F95" s="20">
        <v>42.49</v>
      </c>
    </row>
    <row r="96" spans="1:6" x14ac:dyDescent="0.25">
      <c r="A96" s="20" t="s">
        <v>223</v>
      </c>
      <c r="B96" s="21" t="s">
        <v>247</v>
      </c>
      <c r="C96" s="22">
        <v>11</v>
      </c>
      <c r="D96" s="22">
        <v>6.33</v>
      </c>
      <c r="E96" s="20">
        <v>71.400000000000006</v>
      </c>
      <c r="F96" s="20">
        <v>29.58</v>
      </c>
    </row>
    <row r="97" spans="1:6" x14ac:dyDescent="0.25">
      <c r="A97" s="20" t="s">
        <v>223</v>
      </c>
      <c r="B97" s="21" t="s">
        <v>248</v>
      </c>
      <c r="C97" s="22">
        <v>100</v>
      </c>
      <c r="D97" s="22">
        <v>0</v>
      </c>
      <c r="E97" s="20">
        <v>71.400000000000006</v>
      </c>
      <c r="F97" s="20">
        <v>57.13</v>
      </c>
    </row>
    <row r="98" spans="1:6" x14ac:dyDescent="0.25">
      <c r="A98" s="20" t="s">
        <v>223</v>
      </c>
      <c r="B98" s="21" t="s">
        <v>249</v>
      </c>
      <c r="C98" s="22">
        <v>70</v>
      </c>
      <c r="D98" s="22">
        <v>11.36</v>
      </c>
      <c r="E98" s="20">
        <v>71.400000000000006</v>
      </c>
      <c r="F98" s="20">
        <v>50.92</v>
      </c>
    </row>
    <row r="99" spans="1:6" x14ac:dyDescent="0.25">
      <c r="A99" s="20" t="s">
        <v>223</v>
      </c>
      <c r="B99" s="21" t="s">
        <v>250</v>
      </c>
      <c r="C99" s="22">
        <v>174</v>
      </c>
      <c r="D99" s="22">
        <v>24.6</v>
      </c>
      <c r="E99" s="20">
        <v>71.400000000000006</v>
      </c>
      <c r="F99" s="20">
        <v>90</v>
      </c>
    </row>
    <row r="100" spans="1:6" x14ac:dyDescent="0.25">
      <c r="A100" s="20" t="s">
        <v>223</v>
      </c>
      <c r="B100" s="21" t="s">
        <v>251</v>
      </c>
      <c r="C100" s="22">
        <v>44</v>
      </c>
      <c r="D100" s="22">
        <v>11.22</v>
      </c>
      <c r="E100" s="20">
        <v>71.400000000000006</v>
      </c>
      <c r="F100" s="20">
        <v>42.21</v>
      </c>
    </row>
    <row r="101" spans="1:6" x14ac:dyDescent="0.25">
      <c r="A101" s="20" t="s">
        <v>223</v>
      </c>
      <c r="B101" s="21" t="s">
        <v>252</v>
      </c>
      <c r="C101" s="22">
        <v>124</v>
      </c>
      <c r="D101" s="22">
        <v>33.61</v>
      </c>
      <c r="E101" s="20">
        <v>71.400000000000006</v>
      </c>
      <c r="F101" s="20">
        <v>76.34</v>
      </c>
    </row>
  </sheetData>
  <autoFilter ref="A2:F2" xr:uid="{EAFDB82B-8007-4DB5-892B-98911CFE8DE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&lt; 50 EHP</vt:lpstr>
      <vt:lpstr>50 &lt; 100 EHP</vt:lpstr>
      <vt:lpstr>MID HAY</vt:lpstr>
      <vt:lpstr>LARGE AG</vt:lpstr>
      <vt:lpstr>CCE</vt:lpstr>
      <vt:lpstr>PAES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Artz</dc:creator>
  <cp:lastModifiedBy>Kelly Artz</cp:lastModifiedBy>
  <dcterms:created xsi:type="dcterms:W3CDTF">2025-12-08T16:46:20Z</dcterms:created>
  <dcterms:modified xsi:type="dcterms:W3CDTF">2025-12-08T17:45:48Z</dcterms:modified>
</cp:coreProperties>
</file>